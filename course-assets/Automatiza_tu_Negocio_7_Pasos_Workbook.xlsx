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dfefb246f46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ta" sheetId="1" r:id="Re848399048044859"/>
    <x:sheet xmlns:r="http://schemas.openxmlformats.org/officeDocument/2006/relationships" name="1 Diagnostico" sheetId="2" r:id="Ra711f534ebab4f47"/>
    <x:sheet xmlns:r="http://schemas.openxmlformats.org/officeDocument/2006/relationships" name="2 CRM" sheetId="3" r:id="Rb2e802f95eda45f6"/>
    <x:sheet xmlns:r="http://schemas.openxmlformats.org/officeDocument/2006/relationships" name="3 IA aplicada" sheetId="4" r:id="Rda7b5c4c16b4431d"/>
    <x:sheet xmlns:r="http://schemas.openxmlformats.org/officeDocument/2006/relationships" name="4 n8n esencial" sheetId="5" r:id="R594c67e00c7747c5"/>
    <x:sheet xmlns:r="http://schemas.openxmlformats.org/officeDocument/2006/relationships" name="5 Captacion" sheetId="6" r:id="R54b47ac6d3c04793"/>
    <x:sheet xmlns:r="http://schemas.openxmlformats.org/officeDocument/2006/relationships" name="6 MVP" sheetId="7" r:id="R7e5df74e2e9d44f4"/>
    <x:sheet xmlns:r="http://schemas.openxmlformats.org/officeDocument/2006/relationships" name="7 Implementacion" sheetId="8" r:id="Rea50b5890b634471"/>
    <x:sheet xmlns:r="http://schemas.openxmlformats.org/officeDocument/2006/relationships" name="Fuentes" sheetId="9" r:id="R01bd4822223c49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"/>
    <x:numFmt numFmtId="202" formatCode="0.0"/>
    <x:numFmt numFmtId="203" formatCode="yyyy-mm-dd"/>
  </x:numFmts>
  <x:fonts count="18">
    <x:font>
      <x:sz val="11"/>
      <x:name val="Carlito"/>
    </x:font>
    <x:font>
      <x:b/>
      <x:sz val="20"/>
      <x:color rgb="FFFFFFFF"/>
      <x:name val="Carlito"/>
    </x:font>
    <x:font>
      <x:i/>
      <x:sz val="11"/>
      <x:color rgb="FF667085"/>
      <x:name val="Carlito"/>
    </x:font>
    <x:font>
      <x:b/>
      <x:sz val="16"/>
      <x:color rgb="FF003366"/>
      <x:name val="Carlito"/>
    </x:font>
    <x:font>
      <x:b/>
      <x:sz val="11"/>
      <x:color rgb="FFFFFFFF"/>
      <x:name val="Carlito"/>
    </x:font>
    <x:font>
      <x:sz val="11"/>
      <x:color rgb="FF003366"/>
      <x:name val="Carlito"/>
    </x:font>
    <x:font>
      <x:b/>
      <x:sz val="11"/>
      <x:color rgb="FF003366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1"/>
      <x:color rgb="FF0B5FA5"/>
      <x:name val="Carlito"/>
    </x:font>
    <x:font>
      <x:i/>
      <x:sz val="11"/>
      <x:color rgb="FF003366"/>
      <x:name val="Carlito"/>
    </x:font>
    <x:font>
      <x:b/>
      <x:sz val="10"/>
      <x:color rgb="FFFFFFFF"/>
      <x:name val="Aptos"/>
    </x:font>
    <x:font>
      <x:i/>
      <x:sz val="10"/>
      <x:color rgb="FF667085"/>
      <x:name val="Aptos"/>
    </x:font>
    <x:font>
      <x:sz val="10"/>
      <x:name val="Aptos"/>
    </x:font>
    <x:font>
      <x:b/>
      <x:sz val="10"/>
      <x:color rgb="FF003366"/>
      <x:name val="Aptos"/>
    </x:font>
    <x:font>
      <x:sz val="10"/>
      <x:color rgb="FF003366"/>
      <x:name val="Aptos"/>
    </x:font>
    <x:font>
      <x:b/>
      <x:sz val="10"/>
      <x:color rgb="FF0B5FA5"/>
      <x:name val="Aptos"/>
    </x:font>
    <x:font>
      <x:i/>
      <x:sz val="10"/>
      <x:color rgb="FF003366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003366"/>
      </x:patternFill>
    </x:fill>
    <x:fill>
      <x:patternFill patternType="solid">
        <x:fgColor rgb="FFF2F7FB"/>
      </x:patternFill>
    </x:fill>
    <x:fill>
      <x:patternFill patternType="solid">
        <x:fgColor rgb="FFFFC857"/>
      </x:patternFill>
    </x:fill>
    <x:fill>
      <x:patternFill patternType="solid">
        <x:fgColor rgb="FFDDF4E4"/>
      </x:patternFill>
    </x:fill>
    <x:fill>
      <x:patternFill patternType="solid">
        <x:fgColor rgb="FF00A6A6"/>
      </x:patternFill>
    </x:fill>
    <x:fill>
      <x:patternFill patternType="solid">
        <x:fgColor rgb="FFFFF7DD"/>
      </x:patternFill>
    </x:fill>
    <x:fill>
      <x:patternFill patternType="solid">
        <x:fgColor rgb="FFE8F4FD"/>
      </x:patternFill>
    </x:fill>
  </x:fills>
  <x:borders count="16">
    <x:border/>
    <x:border>
      <x:right style="thin">
        <x:color rgb="FFC9D6E2"/>
      </x:right>
    </x:border>
    <x:border>
      <x:left style="thin">
        <x:color rgb="FFC9D6E2"/>
      </x:left>
      <x:right style="thin">
        <x:color rgb="FFC9D6E2"/>
      </x:right>
    </x:border>
    <x:border>
      <x:left style="thin">
        <x:color rgb="FFC9D6E2"/>
      </x:left>
    </x:border>
    <x:border>
      <x:right style="thin">
        <x:color rgb="FFC9D6E2"/>
      </x:right>
      <x:bottom style="thin">
        <x:color rgb="FFC9D6E2"/>
      </x:bottom>
    </x:border>
    <x:border>
      <x:left style="thin">
        <x:color rgb="FFC9D6E2"/>
      </x:left>
      <x:right style="thin">
        <x:color rgb="FFC9D6E2"/>
      </x:right>
      <x:bottom style="thin">
        <x:color rgb="FFC9D6E2"/>
      </x:bottom>
    </x:border>
    <x:border>
      <x:left style="thin">
        <x:color rgb="FFC9D6E2"/>
      </x:left>
      <x:bottom style="thin">
        <x:color rgb="FFC9D6E2"/>
      </x:bottom>
    </x:border>
    <x:border>
      <x:right style="thin">
        <x:color rgb="FFC9D6E2"/>
      </x:right>
      <x:top style="thin">
        <x:color rgb="FFC9D6E2"/>
      </x:top>
      <x:bottom style="thin">
        <x:color rgb="FFC9D6E2"/>
      </x:bottom>
    </x:border>
    <x:border>
      <x:left style="thin">
        <x:color rgb="FFC9D6E2"/>
      </x:left>
      <x:right style="thin">
        <x:color rgb="FFC9D6E2"/>
      </x:right>
      <x:top style="thin">
        <x:color rgb="FFC9D6E2"/>
      </x:top>
      <x:bottom style="thin">
        <x:color rgb="FFC9D6E2"/>
      </x:bottom>
    </x:border>
    <x:border>
      <x:left style="thin">
        <x:color rgb="FFC9D6E2"/>
      </x:left>
      <x:top style="thin">
        <x:color rgb="FFC9D6E2"/>
      </x:top>
      <x:bottom style="thin">
        <x:color rgb="FFC9D6E2"/>
      </x:bottom>
    </x:border>
    <x:border>
      <x:right style="thin">
        <x:color rgb="FFC9D6E2"/>
      </x:right>
      <x:top style="thin">
        <x:color rgb="FFC9D6E2"/>
      </x:top>
    </x:border>
    <x:border>
      <x:left style="thin">
        <x:color rgb="FFC9D6E2"/>
      </x:left>
      <x:right style="thin">
        <x:color rgb="FFC9D6E2"/>
      </x:right>
      <x:top style="thin">
        <x:color rgb="FFC9D6E2"/>
      </x:top>
    </x:border>
    <x:border>
      <x:left style="thin">
        <x:color rgb="FFC9D6E2"/>
      </x:left>
      <x:top style="thin">
        <x:color rgb="FFC9D6E2"/>
      </x:top>
    </x:border>
    <x:border>
      <x:bottom style="thin">
        <x:color rgb="FFC9D6E2"/>
      </x:bottom>
    </x:border>
    <x:border>
      <x:top style="thin">
        <x:color rgb="FFC9D6E2"/>
      </x:top>
      <x:bottom style="thin">
        <x:color rgb="FFC9D6E2"/>
      </x:bottom>
    </x:border>
    <x:border>
      <x:top style="thin">
        <x:color rgb="FFC9D6E2"/>
      </x:top>
    </x:border>
  </x:borders>
  <x:cellStyleXfs count="1">
    <x:xf numFmtId="0" fontId="0" fillId="0" borderId="0"/>
  </x:cellStyleXfs>
  <x:cellXfs count="1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201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0" fontId="0" fillId="0" borderId="12" xfId="0" applyNumberFormat="1" applyFont="1" applyFill="1" applyBorder="1"/>
    <x:xf numFmtId="0" fontId="6" fillId="3" borderId="0" xfId="0" applyNumberFormat="1" applyFont="1" applyFill="1" applyBorder="1"/>
    <x:xf numFmtId="0" fontId="0" fillId="8" borderId="0" xfId="0" applyNumberFormat="1" applyFont="1" applyFill="1" applyBorder="1"/>
    <x:xf numFmtId="0" fontId="0" fillId="8" borderId="13" xfId="0" applyNumberFormat="1" applyFont="1" applyFill="1" applyBorder="1"/>
    <x:xf numFmtId="0" fontId="0" fillId="8" borderId="14" xfId="0" applyNumberFormat="1" applyFont="1" applyFill="1" applyBorder="1"/>
    <x:xf numFmtId="0" fontId="0" fillId="8" borderId="15" xfId="0" applyNumberFormat="1" applyFont="1" applyFill="1" applyBorder="1"/>
    <x:xf numFmtId="0" fontId="0" fillId="8" borderId="13" xfId="0" applyNumberFormat="1" applyFont="1" applyFill="1" applyBorder="1" applyAlignment="1">
      <x:alignment wrapText="1"/>
    </x:xf>
    <x:xf numFmtId="0" fontId="0" fillId="8" borderId="14" xfId="0" applyNumberFormat="1" applyFont="1" applyFill="1" applyBorder="1" applyAlignment="1">
      <x:alignment wrapText="1"/>
    </x:xf>
    <x:xf numFmtId="0" fontId="0" fillId="8" borderId="15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9" fillId="8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9" xfId="0" applyNumberFormat="1" applyFont="1" applyFill="1" applyBorder="1"/>
    <x:xf numFmtId="0" fontId="10" fillId="7" borderId="14" xfId="0" applyNumberFormat="1" applyFont="1" applyFill="1" applyBorder="1"/>
    <x:xf numFmtId="0" fontId="10" fillId="7" borderId="7" xfId="0" applyNumberFormat="1" applyFont="1" applyFill="1" applyBorder="1"/>
    <x:xf numFmtId="0" fontId="10" fillId="7" borderId="9" xfId="0" applyNumberFormat="1" applyFont="1" applyFill="1" applyBorder="1" applyAlignment="1">
      <x:alignment wrapText="1"/>
    </x:xf>
    <x:xf numFmtId="0" fontId="10" fillId="7" borderId="14" xfId="0" applyNumberFormat="1" applyFont="1" applyFill="1" applyBorder="1" applyAlignment="1">
      <x:alignment wrapText="1"/>
    </x:xf>
    <x:xf numFmtId="0" fontId="10" fillId="7" borderId="7" xfId="0" applyNumberFormat="1" applyFont="1" applyFill="1" applyBorder="1" applyAlignment="1">
      <x:alignment wrapText="1"/>
    </x:xf>
    <x:xf numFmtId="0" fontId="10" fillId="7" borderId="9" xfId="0" applyNumberFormat="1" applyFont="1" applyFill="1" applyBorder="1" applyAlignment="1">
      <x:alignment vertical="center" wrapText="1"/>
    </x:xf>
    <x:xf numFmtId="0" fontId="10" fillId="7" borderId="14" xfId="0" applyNumberFormat="1" applyFont="1" applyFill="1" applyBorder="1" applyAlignment="1">
      <x:alignment vertical="center" wrapText="1"/>
    </x:xf>
    <x:xf numFmtId="0" fontId="10" fillId="7" borderId="7" xfId="0" applyNumberFormat="1" applyFont="1" applyFill="1" applyBorder="1" applyAlignment="1">
      <x:alignment vertical="center" wrapText="1"/>
    </x:xf>
    <x:xf numFmtId="0" fontId="0" fillId="8" borderId="13" xfId="0" applyNumberFormat="1" applyFont="1" applyFill="1" applyBorder="1" applyAlignment="1">
      <x:alignment vertical="top" wrapText="1"/>
    </x:xf>
    <x:xf numFmtId="0" fontId="0" fillId="8" borderId="14" xfId="0" applyNumberFormat="1" applyFont="1" applyFill="1" applyBorder="1" applyAlignment="1">
      <x:alignment vertical="top" wrapText="1"/>
    </x:xf>
    <x:xf numFmtId="0" fontId="0" fillId="8" borderId="15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3" fontId="0" fillId="8" borderId="13" xfId="0" applyNumberFormat="1" applyFont="1" applyFill="1" applyBorder="1" applyAlignment="1">
      <x:alignment vertical="top" wrapText="1"/>
    </x:xf>
    <x:xf numFmtId="203" fontId="0" fillId="8" borderId="14" xfId="0" applyNumberFormat="1" applyFont="1" applyFill="1" applyBorder="1" applyAlignment="1">
      <x:alignment vertical="top" wrapText="1"/>
    </x:xf>
    <x:xf numFmtId="203" fontId="0" fillId="8" borderId="15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200" fontId="6" fillId="4" borderId="0" xfId="0" applyNumberFormat="1" applyFont="1" applyFill="1" applyBorder="1"/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10" fillId="7" borderId="12" xfId="0" applyNumberFormat="1" applyFont="1" applyFill="1" applyBorder="1"/>
    <x:xf numFmtId="0" fontId="10" fillId="7" borderId="15" xfId="0" applyNumberFormat="1" applyFont="1" applyFill="1" applyBorder="1"/>
    <x:xf numFmtId="0" fontId="10" fillId="7" borderId="10" xfId="0" applyNumberFormat="1" applyFont="1" applyFill="1" applyBorder="1"/>
    <x:xf numFmtId="0" fontId="10" fillId="7" borderId="6" xfId="0" applyNumberFormat="1" applyFont="1" applyFill="1" applyBorder="1"/>
    <x:xf numFmtId="0" fontId="10" fillId="7" borderId="13" xfId="0" applyNumberFormat="1" applyFont="1" applyFill="1" applyBorder="1"/>
    <x:xf numFmtId="0" fontId="10" fillId="7" borderId="4" xfId="0" applyNumberFormat="1" applyFont="1" applyFill="1" applyBorder="1"/>
    <x:xf numFmtId="0" fontId="10" fillId="7" borderId="12" xfId="0" applyNumberFormat="1" applyFont="1" applyFill="1" applyBorder="1" applyAlignment="1">
      <x:alignment wrapText="1"/>
    </x:xf>
    <x:xf numFmtId="0" fontId="10" fillId="7" borderId="15" xfId="0" applyNumberFormat="1" applyFont="1" applyFill="1" applyBorder="1" applyAlignment="1">
      <x:alignment wrapText="1"/>
    </x:xf>
    <x:xf numFmtId="0" fontId="10" fillId="7" borderId="10" xfId="0" applyNumberFormat="1" applyFont="1" applyFill="1" applyBorder="1" applyAlignment="1">
      <x:alignment wrapText="1"/>
    </x:xf>
    <x:xf numFmtId="0" fontId="10" fillId="7" borderId="6" xfId="0" applyNumberFormat="1" applyFont="1" applyFill="1" applyBorder="1" applyAlignment="1">
      <x:alignment wrapText="1"/>
    </x:xf>
    <x:xf numFmtId="0" fontId="10" fillId="7" borderId="13" xfId="0" applyNumberFormat="1" applyFont="1" applyFill="1" applyBorder="1" applyAlignment="1">
      <x:alignment wrapText="1"/>
    </x:xf>
    <x:xf numFmtId="0" fontId="10" fillId="7" borderId="4" xfId="0" applyNumberFormat="1" applyFont="1" applyFill="1" applyBorder="1" applyAlignment="1">
      <x:alignment wrapText="1"/>
    </x:xf>
    <x:xf numFmtId="0" fontId="10" fillId="7" borderId="12" xfId="0" applyNumberFormat="1" applyFont="1" applyFill="1" applyBorder="1" applyAlignment="1">
      <x:alignment vertical="center" wrapText="1"/>
    </x:xf>
    <x:xf numFmtId="0" fontId="10" fillId="7" borderId="15" xfId="0" applyNumberFormat="1" applyFont="1" applyFill="1" applyBorder="1" applyAlignment="1">
      <x:alignment vertical="center" wrapText="1"/>
    </x:xf>
    <x:xf numFmtId="0" fontId="10" fillId="7" borderId="10" xfId="0" applyNumberFormat="1" applyFont="1" applyFill="1" applyBorder="1" applyAlignment="1">
      <x:alignment vertical="center" wrapText="1"/>
    </x:xf>
    <x:xf numFmtId="0" fontId="10" fillId="7" borderId="6" xfId="0" applyNumberFormat="1" applyFont="1" applyFill="1" applyBorder="1" applyAlignment="1">
      <x:alignment vertical="center" wrapText="1"/>
    </x:xf>
    <x:xf numFmtId="0" fontId="10" fillId="7" borderId="13" xfId="0" applyNumberFormat="1" applyFont="1" applyFill="1" applyBorder="1" applyAlignment="1">
      <x:alignment vertical="center" wrapText="1"/>
    </x:xf>
    <x:xf numFmtId="0" fontId="10" fillId="7" borderId="4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200" fontId="14" fillId="4" borderId="0" xfId="0" applyNumberFormat="1" applyFont="1" applyFill="1" applyBorder="1"/>
    <x:xf numFmtId="201" fontId="14" fillId="5" borderId="0" xfId="0" applyNumberFormat="1" applyFont="1" applyFill="1" applyBorder="1"/>
    <x:xf numFmtId="0" fontId="11" fillId="6" borderId="0" xfId="0" applyNumberFormat="1" applyFont="1" applyFill="1" applyBorder="1"/>
    <x:xf numFmtId="0" fontId="15" fillId="7" borderId="0" xfId="0" applyNumberFormat="1" applyFont="1" applyFill="1" applyBorder="1" applyAlignment="1">
      <x:alignment wrapText="1"/>
    </x:xf>
    <x:xf numFmtId="0" fontId="11" fillId="2" borderId="1" xfId="0" applyNumberFormat="1" applyFont="1" applyFill="1" applyBorder="1" applyAlignment="1">
      <x:alignment vertical="center" wrapText="1"/>
    </x:xf>
    <x:xf numFmtId="0" fontId="11" fillId="2" borderId="2" xfId="0" applyNumberFormat="1" applyFont="1" applyFill="1" applyBorder="1" applyAlignment="1">
      <x:alignment vertical="center" wrapText="1"/>
    </x:xf>
    <x:xf numFmtId="0" fontId="11" fillId="2" borderId="3" xfId="0" applyNumberFormat="1" applyFont="1" applyFill="1" applyBorder="1" applyAlignment="1">
      <x:alignment vertical="center" wrapText="1"/>
    </x:xf>
    <x:xf numFmtId="0" fontId="13" fillId="0" borderId="4" xfId="0" applyNumberFormat="1" applyFont="1" applyFill="1" applyBorder="1"/>
    <x:xf numFmtId="0" fontId="13" fillId="0" borderId="5" xfId="0" applyNumberFormat="1" applyFont="1" applyFill="1" applyBorder="1"/>
    <x:xf numFmtId="200" fontId="13" fillId="0" borderId="6" xfId="0" applyNumberFormat="1" applyFont="1" applyFill="1" applyBorder="1"/>
    <x:xf numFmtId="0" fontId="13" fillId="0" borderId="7" xfId="0" applyNumberFormat="1" applyFont="1" applyFill="1" applyBorder="1"/>
    <x:xf numFmtId="0" fontId="13" fillId="0" borderId="8" xfId="0" applyNumberFormat="1" applyFont="1" applyFill="1" applyBorder="1"/>
    <x:xf numFmtId="200" fontId="13" fillId="0" borderId="9" xfId="0" applyNumberFormat="1" applyFont="1" applyFill="1" applyBorder="1"/>
    <x:xf numFmtId="0" fontId="13" fillId="0" borderId="10" xfId="0" applyNumberFormat="1" applyFont="1" applyFill="1" applyBorder="1"/>
    <x:xf numFmtId="0" fontId="13" fillId="0" borderId="11" xfId="0" applyNumberFormat="1" applyFont="1" applyFill="1" applyBorder="1"/>
    <x:xf numFmtId="200" fontId="13" fillId="0" borderId="12" xfId="0" applyNumberFormat="1" applyFont="1" applyFill="1" applyBorder="1"/>
    <x:xf numFmtId="0" fontId="14" fillId="3" borderId="0" xfId="0" applyNumberFormat="1" applyFont="1" applyFill="1" applyBorder="1"/>
    <x:xf numFmtId="0" fontId="13" fillId="8" borderId="13" xfId="0" applyNumberFormat="1" applyFont="1" applyFill="1" applyBorder="1" applyAlignment="1">
      <x:alignment wrapText="1"/>
    </x:xf>
    <x:xf numFmtId="0" fontId="13" fillId="8" borderId="14" xfId="0" applyNumberFormat="1" applyFont="1" applyFill="1" applyBorder="1" applyAlignment="1">
      <x:alignment wrapText="1"/>
    </x:xf>
    <x:xf numFmtId="0" fontId="13" fillId="8" borderId="15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/>
    <x:xf numFmtId="0" fontId="16" fillId="8" borderId="0" xfId="0" applyNumberFormat="1" applyFont="1" applyFill="1" applyBorder="1"/>
    <x:xf numFmtId="0" fontId="17" fillId="7" borderId="9" xfId="0" applyNumberFormat="1" applyFont="1" applyFill="1" applyBorder="1" applyAlignment="1">
      <x:alignment vertical="center" wrapText="1"/>
    </x:xf>
    <x:xf numFmtId="0" fontId="17" fillId="7" borderId="14" xfId="0" applyNumberFormat="1" applyFont="1" applyFill="1" applyBorder="1" applyAlignment="1">
      <x:alignment vertical="center" wrapText="1"/>
    </x:xf>
    <x:xf numFmtId="0" fontId="17" fillId="7" borderId="7" xfId="0" applyNumberFormat="1" applyFont="1" applyFill="1" applyBorder="1" applyAlignment="1">
      <x:alignment vertical="center" wrapText="1"/>
    </x:xf>
    <x:xf numFmtId="0" fontId="13" fillId="8" borderId="13" xfId="0" applyNumberFormat="1" applyFont="1" applyFill="1" applyBorder="1" applyAlignment="1">
      <x:alignment vertical="top" wrapText="1"/>
    </x:xf>
    <x:xf numFmtId="202" fontId="13" fillId="0" borderId="0" xfId="0" applyNumberFormat="1" applyFont="1" applyFill="1" applyBorder="1"/>
    <x:xf numFmtId="0" fontId="13" fillId="8" borderId="14" xfId="0" applyNumberFormat="1" applyFont="1" applyFill="1" applyBorder="1" applyAlignment="1">
      <x:alignment vertical="top" wrapText="1"/>
    </x:xf>
    <x:xf numFmtId="0" fontId="13" fillId="8" borderId="15" xfId="0" applyNumberFormat="1" applyFont="1" applyFill="1" applyBorder="1" applyAlignment="1">
      <x:alignment vertical="top" wrapText="1"/>
    </x:xf>
    <x:xf numFmtId="203" fontId="13" fillId="8" borderId="13" xfId="0" applyNumberFormat="1" applyFont="1" applyFill="1" applyBorder="1" applyAlignment="1">
      <x:alignment vertical="top" wrapText="1"/>
    </x:xf>
    <x:xf numFmtId="203" fontId="13" fillId="8" borderId="14" xfId="0" applyNumberFormat="1" applyFont="1" applyFill="1" applyBorder="1" applyAlignment="1">
      <x:alignment vertical="top" wrapText="1"/>
    </x:xf>
    <x:xf numFmtId="203" fontId="13" fillId="8" borderId="15" xfId="0" applyNumberFormat="1" applyFont="1" applyFill="1" applyBorder="1" applyAlignment="1">
      <x:alignment vertical="top" wrapText="1"/>
    </x:xf>
    <x:xf numFmtId="0" fontId="11" fillId="6" borderId="0" xfId="0" applyNumberFormat="1" applyFont="1" applyFill="1" applyBorder="1" applyAlignment="1">
      <x:alignment vertical="center"/>
    </x:xf>
    <x:xf numFmtId="0" fontId="13" fillId="0" borderId="13" xfId="0" applyNumberFormat="1" applyFont="1" applyFill="1" applyBorder="1" applyAlignment="1">
      <x:alignment wrapText="1"/>
    </x:xf>
    <x:xf numFmtId="0" fontId="13" fillId="0" borderId="14" xfId="0" applyNumberFormat="1" applyFont="1" applyFill="1" applyBorder="1" applyAlignment="1">
      <x:alignment wrapText="1"/>
    </x:xf>
    <x:xf numFmtId="0" fontId="13" fillId="0" borderId="15" xfId="0" applyNumberFormat="1" applyFont="1" applyFill="1" applyBorder="1" applyAlignment="1">
      <x:alignment wrapText="1"/>
    </x:xf>
    <x:xf numFmtId="0" fontId="11" fillId="2" borderId="0" xfId="0" applyNumberFormat="1" applyFont="1" applyFill="1" applyBorder="1"/>
    <x:xf numFmtId="0" fontId="14" fillId="4" borderId="0" xfId="0" applyNumberFormat="1" applyFont="1" applyFill="1" applyBorder="1"/>
    <x:xf numFmtId="0" fontId="13" fillId="0" borderId="13" xfId="0" applyNumberFormat="1" applyFont="1" applyFill="1" applyBorder="1" applyAlignment="1">
      <x:alignment vertical="top" wrapText="1"/>
    </x:xf>
    <x:xf numFmtId="0" fontId="13" fillId="0" borderId="14" xfId="0" applyNumberFormat="1" applyFont="1" applyFill="1" applyBorder="1" applyAlignment="1">
      <x:alignment vertical="top" wrapText="1"/>
    </x:xf>
    <x:xf numFmtId="0" fontId="13" fillId="0" borderId="15" xfId="0" applyNumberFormat="1" applyFont="1" applyFill="1" applyBorder="1" applyAlignment="1">
      <x:alignment vertical="top" wrapText="1"/>
    </x:xf>
    <x:xf numFmtId="0" fontId="17" fillId="7" borderId="12" xfId="0" applyNumberFormat="1" applyFont="1" applyFill="1" applyBorder="1" applyAlignment="1">
      <x:alignment vertical="center" wrapText="1"/>
    </x:xf>
    <x:xf numFmtId="0" fontId="17" fillId="7" borderId="15" xfId="0" applyNumberFormat="1" applyFont="1" applyFill="1" applyBorder="1" applyAlignment="1">
      <x:alignment vertical="center" wrapText="1"/>
    </x:xf>
    <x:xf numFmtId="0" fontId="17" fillId="7" borderId="10" xfId="0" applyNumberFormat="1" applyFont="1" applyFill="1" applyBorder="1" applyAlignment="1">
      <x:alignment vertical="center" wrapText="1"/>
    </x:xf>
    <x:xf numFmtId="0" fontId="17" fillId="7" borderId="6" xfId="0" applyNumberFormat="1" applyFont="1" applyFill="1" applyBorder="1" applyAlignment="1">
      <x:alignment vertical="center" wrapText="1"/>
    </x:xf>
    <x:xf numFmtId="0" fontId="17" fillId="7" borderId="13" xfId="0" applyNumberFormat="1" applyFont="1" applyFill="1" applyBorder="1" applyAlignment="1">
      <x:alignment vertical="center" wrapText="1"/>
    </x:xf>
    <x:xf numFmtId="0" fontId="17" fillId="7" borderId="4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176B35"/>
      </x:font>
      <x:fill>
        <x:patternFill patternType="solid">
          <x:bgColor rgb="FFDDF4E4"/>
        </x:patternFill>
      </x:fill>
    </x:dxf>
    <x:dxf>
      <x:font>
        <x:b/>
        <x:color rgb="FF8A5A00"/>
      </x:font>
      <x:fill>
        <x:patternFill patternType="solid">
          <x:bgColor rgb="FFFFF7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4dd8083541438c" /><Relationship Type="http://schemas.openxmlformats.org/officeDocument/2006/relationships/theme" Target="/xl/theme/theme1.xml" Id="R6fa594d4c6194e27" /><Relationship Type="http://schemas.openxmlformats.org/officeDocument/2006/relationships/sharedStrings" Target="/xl/sharedStrings.xml" Id="R60eb6c2efd8b4429" /><Relationship Type="http://schemas.openxmlformats.org/officeDocument/2006/relationships/worksheet" Target="/xl/worksheets/sheet1.xml" Id="Re848399048044859" /><Relationship Type="http://schemas.openxmlformats.org/officeDocument/2006/relationships/worksheet" Target="/xl/worksheets/sheet2.xml" Id="Ra711f534ebab4f47" /><Relationship Type="http://schemas.openxmlformats.org/officeDocument/2006/relationships/worksheet" Target="/xl/worksheets/sheet3.xml" Id="Rb2e802f95eda45f6" /><Relationship Type="http://schemas.openxmlformats.org/officeDocument/2006/relationships/worksheet" Target="/xl/worksheets/sheet4.xml" Id="Rda7b5c4c16b4431d" /><Relationship Type="http://schemas.openxmlformats.org/officeDocument/2006/relationships/worksheet" Target="/xl/worksheets/sheet5.xml" Id="R594c67e00c7747c5" /><Relationship Type="http://schemas.openxmlformats.org/officeDocument/2006/relationships/worksheet" Target="/xl/worksheets/sheet6.xml" Id="R54b47ac6d3c04793" /><Relationship Type="http://schemas.openxmlformats.org/officeDocument/2006/relationships/worksheet" Target="/xl/worksheets/sheet7.xml" Id="R7e5df74e2e9d44f4" /><Relationship Type="http://schemas.openxmlformats.org/officeDocument/2006/relationships/worksheet" Target="/xl/worksheets/sheet8.xml" Id="Rea50b5890b634471" /><Relationship Type="http://schemas.openxmlformats.org/officeDocument/2006/relationships/worksheet" Target="/xl/worksheets/sheet9.xml" Id="R01bd4822223c49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14" hidden="0" customWidth="1"/>
    <x:col min="4" max="4" width="24" hidden="0" customWidth="1"/>
    <x:col min="5" max="5" width="17" hidden="0" customWidth="1"/>
    <x:col min="6" max="6" width="17" hidden="0" customWidth="1"/>
  </x:cols>
  <x:sheetData>
    <x:row r="1" ht="34" customHeight="1">
      <x:c r="A1" s="102" t="str">
        <x:v>Automatiza tu Negocio en 7 Pasos</x:v>
      </x:c>
      <x:c r="B1" s="102"/>
      <x:c r="C1" s="102"/>
      <x:c r="D1" s="102"/>
      <x:c r="E1" s="102"/>
      <x:c r="F1" s="102"/>
    </x:row>
    <x:row r="2" ht="34" customHeight="1">
      <x:c r="A2" s="103" t="str">
        <x:v>Workbook práctico · versión interna para revisión · no usar con datos reales ni activar automatizaciones en producción</x:v>
      </x:c>
      <x:c r="B2" s="103"/>
      <x:c r="C2" s="103"/>
      <x:c r="D2" s="103"/>
      <x:c r="E2" s="103"/>
      <x:c r="F2" s="103"/>
    </x:row>
    <x:row r="3">
      <x:c r="A3" s="104"/>
      <x:c r="B3" s="104"/>
      <x:c r="C3" s="104"/>
      <x:c r="D3" s="104"/>
      <x:c r="E3" s="104"/>
      <x:c r="F3" s="104"/>
    </x:row>
    <x:row r="4">
      <x:c r="A4" s="104" t="str">
        <x:v>Avance total</x:v>
      </x:c>
      <x:c r="B4" s="105" t="n">
        <x:f>SUM(C9:C15)/7</x:f>
        <x:v>0</x:v>
      </x:c>
      <x:c r="C4" s="104"/>
      <x:c r="D4" s="104" t="str">
        <x:v>Módulos completados</x:v>
      </x:c>
      <x:c r="E4" s="106" t="n">
        <x:f>COUNTIF(B9:B15,"Completado")</x:f>
        <x:v>0</x:v>
      </x:c>
      <x:c r="F4" s="104"/>
    </x:row>
    <x:row r="5">
      <x:c r="A5" s="104"/>
      <x:c r="B5" s="104"/>
      <x:c r="C5" s="104"/>
      <x:c r="D5" s="104"/>
      <x:c r="E5" s="104"/>
      <x:c r="F5" s="104"/>
    </x:row>
    <x:row r="6">
      <x:c r="A6" s="107" t="str">
        <x:v>Cómo usar este workbook</x:v>
      </x:c>
      <x:c r="B6" s="107"/>
      <x:c r="C6" s="107"/>
      <x:c r="D6" s="107"/>
      <x:c r="E6" s="107"/>
      <x:c r="F6" s="107"/>
    </x:row>
    <x:row r="7" ht="42" customHeight="1">
      <x:c r="A7" s="108" t="str">
        <x:v>Trabaja con un solo proceso real durante los siete módulos. Usa datos ficticios al probar. Completa la evidencia mínima y cambia el estado del módulo solo cuando el resultado pueda revisarse.</x:v>
      </x:c>
      <x:c r="B7" s="108"/>
      <x:c r="C7" s="108"/>
      <x:c r="D7" s="108"/>
      <x:c r="E7" s="108"/>
      <x:c r="F7" s="108"/>
    </x:row>
    <x:row r="8" ht="34" customHeight="1">
      <x:c r="A8" s="109" t="str">
        <x:v>Módulo</x:v>
      </x:c>
      <x:c r="B8" s="110" t="str">
        <x:v>Estado</x:v>
      </x:c>
      <x:c r="C8" s="111" t="str">
        <x:v>Avance</x:v>
      </x:c>
      <x:c r="D8" s="104"/>
      <x:c r="E8" s="104"/>
      <x:c r="F8" s="104"/>
    </x:row>
    <x:row r="9">
      <x:c r="A9" s="112" t="str">
        <x:v>1. Diagnóstico</x:v>
      </x:c>
      <x:c r="B9" s="113" t="str">
        <x:f>'1 Diagnostico'!B4</x:f>
        <x:v>Pendiente</x:v>
      </x:c>
      <x:c r="C9" s="114" t="n">
        <x:f>IF(B9="Completado",1,IF(B9="En curso",0.5,0))</x:f>
        <x:v>0</x:v>
      </x:c>
      <x:c r="D9" s="104"/>
      <x:c r="E9" s="104"/>
      <x:c r="F9" s="104"/>
    </x:row>
    <x:row r="10">
      <x:c r="A10" s="115" t="str">
        <x:v>2. CRM</x:v>
      </x:c>
      <x:c r="B10" s="116" t="str">
        <x:f>'2 CRM'!B4</x:f>
        <x:v>Pendiente</x:v>
      </x:c>
      <x:c r="C10" s="117" t="n">
        <x:f>IF(B10="Completado",1,IF(B10="En curso",0.5,0))</x:f>
        <x:v>0</x:v>
      </x:c>
      <x:c r="D10" s="104"/>
      <x:c r="E10" s="104"/>
      <x:c r="F10" s="104"/>
    </x:row>
    <x:row r="11">
      <x:c r="A11" s="115" t="str">
        <x:v>3. IA aplicada</x:v>
      </x:c>
      <x:c r="B11" s="116" t="str">
        <x:f>'3 IA aplicada'!B4</x:f>
        <x:v>Pendiente</x:v>
      </x:c>
      <x:c r="C11" s="117" t="n">
        <x:f>IF(B11="Completado",1,IF(B11="En curso",0.5,0))</x:f>
        <x:v>0</x:v>
      </x:c>
      <x:c r="D11" s="104"/>
      <x:c r="E11" s="104"/>
      <x:c r="F11" s="104"/>
    </x:row>
    <x:row r="12">
      <x:c r="A12" s="115" t="str">
        <x:v>4. n8n esencial</x:v>
      </x:c>
      <x:c r="B12" s="116" t="str">
        <x:f>'4 n8n esencial'!B4</x:f>
        <x:v>Pendiente</x:v>
      </x:c>
      <x:c r="C12" s="117" t="n">
        <x:f>IF(B12="Completado",1,IF(B12="En curso",0.5,0))</x:f>
        <x:v>0</x:v>
      </x:c>
      <x:c r="D12" s="104"/>
      <x:c r="E12" s="104"/>
      <x:c r="F12" s="104"/>
    </x:row>
    <x:row r="13">
      <x:c r="A13" s="115" t="str">
        <x:v>5. Captación</x:v>
      </x:c>
      <x:c r="B13" s="116" t="str">
        <x:f>'5 Captacion'!B4</x:f>
        <x:v>Pendiente</x:v>
      </x:c>
      <x:c r="C13" s="117" t="n">
        <x:f>IF(B13="Completado",1,IF(B13="En curso",0.5,0))</x:f>
        <x:v>0</x:v>
      </x:c>
      <x:c r="D13" s="104"/>
      <x:c r="E13" s="104"/>
      <x:c r="F13" s="104"/>
    </x:row>
    <x:row r="14">
      <x:c r="A14" s="115" t="str">
        <x:v>6. MVP</x:v>
      </x:c>
      <x:c r="B14" s="116" t="str">
        <x:f>'6 MVP'!B4</x:f>
        <x:v>Pendiente</x:v>
      </x:c>
      <x:c r="C14" s="117" t="n">
        <x:f>IF(B14="Completado",1,IF(B14="En curso",0.5,0))</x:f>
        <x:v>0</x:v>
      </x:c>
      <x:c r="D14" s="104"/>
      <x:c r="E14" s="104"/>
      <x:c r="F14" s="104"/>
    </x:row>
    <x:row r="15">
      <x:c r="A15" s="118" t="str">
        <x:v>7. Implementación</x:v>
      </x:c>
      <x:c r="B15" s="119" t="str">
        <x:f>'7 Implementacion'!B4</x:f>
        <x:v>Pendiente</x:v>
      </x:c>
      <x:c r="C15" s="120" t="n">
        <x:f>IF(B15="Completado",1,IF(B15="En curso",0.5,0))</x:f>
        <x:v>0</x:v>
      </x:c>
      <x:c r="D15" s="104"/>
      <x:c r="E15" s="104"/>
      <x:c r="F15" s="104"/>
    </x:row>
    <x:row r="16">
      <x:c r="A16" s="104"/>
      <x:c r="B16" s="104"/>
      <x:c r="C16" s="104"/>
      <x:c r="D16" s="104"/>
      <x:c r="E16" s="104"/>
      <x:c r="F16" s="104"/>
    </x:row>
    <x:row r="17">
      <x:c r="A17" s="107" t="str">
        <x:v>Ficha del participante</x:v>
      </x:c>
      <x:c r="B17" s="107"/>
      <x:c r="C17" s="107"/>
      <x:c r="D17" s="107"/>
      <x:c r="E17" s="107"/>
      <x:c r="F17" s="107"/>
    </x:row>
    <x:row r="18">
      <x:c r="A18" s="121" t="str">
        <x:v>Nombre</x:v>
      </x:c>
      <x:c r="B18" s="122" t="str"/>
      <x:c r="C18" s="122"/>
      <x:c r="D18" s="122"/>
      <x:c r="E18" s="122"/>
      <x:c r="F18" s="122"/>
    </x:row>
    <x:row r="19">
      <x:c r="A19" s="121" t="str">
        <x:v>Negocio / proyecto</x:v>
      </x:c>
      <x:c r="B19" s="123" t="str"/>
      <x:c r="C19" s="123"/>
      <x:c r="D19" s="123"/>
      <x:c r="E19" s="123"/>
      <x:c r="F19" s="123"/>
    </x:row>
    <x:row r="20">
      <x:c r="A20" s="121" t="str">
        <x:v>Proceso elegido</x:v>
      </x:c>
      <x:c r="B20" s="123" t="str"/>
      <x:c r="C20" s="123"/>
      <x:c r="D20" s="123"/>
      <x:c r="E20" s="123"/>
      <x:c r="F20" s="123"/>
    </x:row>
    <x:row r="21">
      <x:c r="A21" s="121" t="str">
        <x:v>Resultado esperado</x:v>
      </x:c>
      <x:c r="B21" s="124" t="str"/>
      <x:c r="C21" s="124"/>
      <x:c r="D21" s="124"/>
      <x:c r="E21" s="124"/>
      <x:c r="F21" s="124"/>
    </x:row>
  </x:sheetData>
  <x:mergeCells>
    <x:mergeCell ref="A1:F1"/>
    <x:mergeCell ref="A2:F2"/>
    <x:mergeCell ref="A6:F6"/>
    <x:mergeCell ref="A7:F7"/>
    <x:mergeCell ref="A17:F17"/>
    <x:mergeCell ref="B18:F18"/>
    <x:mergeCell ref="B19:F19"/>
    <x:mergeCell ref="B20:F20"/>
    <x:mergeCell ref="B21:F21"/>
  </x:mergeCells>
  <x:conditionalFormatting sqref="B9:B15">
    <x:cfRule type="containsText" dxfId="0" priority="1" operator="containsText" text="Completado"/>
    <x:cfRule type="containsText" dxfId="1" priority="2" operator="containsText" text="En curso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0" customHeight="1">
      <x:c r="A1" s="102" t="str">
        <x:v>Paso 1 · Diagnóstico y priorización</x:v>
      </x:c>
      <x:c r="B1" s="102"/>
      <x:c r="C1" s="102"/>
      <x:c r="D1" s="102"/>
      <x:c r="E1" s="102"/>
      <x:c r="F1" s="102"/>
      <x:c r="G1" s="102"/>
      <x:c r="H1" s="102"/>
    </x:row>
    <x:row r="2" ht="34" customHeight="1">
      <x:c r="A2" s="125" t="str">
        <x:v>Identifica procesos repetitivos y selecciona uno con criterios visibles. Celdas azules = completar.</x:v>
      </x:c>
      <x:c r="B2" s="125"/>
      <x:c r="C2" s="125"/>
      <x:c r="D2" s="125"/>
      <x:c r="E2" s="125"/>
      <x:c r="F2" s="125"/>
      <x:c r="G2" s="125"/>
      <x:c r="H2" s="125"/>
    </x:row>
    <x:row r="3">
      <x:c r="A3" s="104"/>
      <x:c r="B3" s="104"/>
      <x:c r="C3" s="104"/>
      <x:c r="D3" s="104"/>
      <x:c r="E3" s="104"/>
      <x:c r="F3" s="104"/>
      <x:c r="G3" s="104"/>
      <x:c r="H3" s="104"/>
    </x:row>
    <x:row r="4">
      <x:c r="A4" s="126" t="str">
        <x:v>Estado del módulo</x:v>
      </x:c>
      <x:c r="B4" s="127" t="str">
        <x:v>Pendiente</x:v>
      </x:c>
      <x:c r="C4" s="104"/>
      <x:c r="D4" s="104"/>
      <x:c r="E4" s="104"/>
      <x:c r="F4" s="104"/>
      <x:c r="G4" s="104"/>
      <x:c r="H4" s="104"/>
    </x:row>
    <x:row r="5">
      <x:c r="A5" s="128" t="str">
        <x:v>Evidencia mínima: un proceso priorizado y descrito. La puntuación orienta; no reemplaza la revisión de riesgo, privacidad ni impacto en clientes.</x:v>
      </x:c>
      <x:c r="B5" s="129"/>
      <x:c r="C5" s="129"/>
      <x:c r="D5" s="129"/>
      <x:c r="E5" s="129"/>
      <x:c r="F5" s="129"/>
      <x:c r="G5" s="129"/>
      <x:c r="H5" s="130"/>
    </x:row>
    <x:row r="6">
      <x:c r="A6" s="104"/>
      <x:c r="B6" s="104"/>
      <x:c r="C6" s="104"/>
      <x:c r="D6" s="104"/>
      <x:c r="E6" s="104"/>
      <x:c r="F6" s="104"/>
      <x:c r="G6" s="104"/>
      <x:c r="H6" s="104"/>
    </x:row>
    <x:row r="7" ht="34" customHeight="1">
      <x:c r="A7" s="109" t="str">
        <x:v>Proceso</x:v>
      </x:c>
      <x:c r="B7" s="110" t="str">
        <x:v>Frecuencia/semana</x:v>
      </x:c>
      <x:c r="C7" s="110" t="str">
        <x:v>Minutos/vez</x:v>
      </x:c>
      <x:c r="D7" s="110" t="str">
        <x:v>Impacto (1-5)</x:v>
      </x:c>
      <x:c r="E7" s="110" t="str">
        <x:v>Riesgo de error (1-5)</x:v>
      </x:c>
      <x:c r="F7" s="110" t="str">
        <x:v>Esfuerzo (1-5)</x:v>
      </x:c>
      <x:c r="G7" s="110" t="str">
        <x:v>Horas/mes</x:v>
      </x:c>
      <x:c r="H7" s="111" t="str">
        <x:v>Puntaje prioridad</x:v>
      </x:c>
    </x:row>
    <x:row r="8">
      <x:c r="A8" s="131"/>
      <x:c r="B8" s="131"/>
      <x:c r="C8" s="131"/>
      <x:c r="D8" s="131"/>
      <x:c r="E8" s="131"/>
      <x:c r="F8" s="131"/>
      <x:c r="G8" s="132" t="str">
        <x:f>IF(OR(B8="",C8=""),"",ROUND(B8*C8*4.33/60,1))</x:f>
      </x:c>
      <x:c r="H8" s="132" t="str">
        <x:f>IF(COUNTA(B8:F8)&lt;5,"",ROUND((D8+E8)*MAX(G8,0.5)/F8,1))</x:f>
      </x:c>
    </x:row>
    <x:row r="9">
      <x:c r="A9" s="133"/>
      <x:c r="B9" s="133"/>
      <x:c r="C9" s="133"/>
      <x:c r="D9" s="133"/>
      <x:c r="E9" s="133"/>
      <x:c r="F9" s="133"/>
      <x:c r="G9" s="132" t="str">
        <x:f>IF(OR(B9="",C9=""),"",ROUND(B9*C9*4.33/60,1))</x:f>
      </x:c>
      <x:c r="H9" s="132" t="str">
        <x:f>IF(COUNTA(B9:F9)&lt;5,"",ROUND((D9+E9)*MAX(G9,0.5)/F9,1))</x:f>
      </x:c>
    </x:row>
    <x:row r="10">
      <x:c r="A10" s="133"/>
      <x:c r="B10" s="133"/>
      <x:c r="C10" s="133"/>
      <x:c r="D10" s="133"/>
      <x:c r="E10" s="133"/>
      <x:c r="F10" s="133"/>
      <x:c r="G10" s="132" t="str">
        <x:f>IF(OR(B10="",C10=""),"",ROUND(B10*C10*4.33/60,1))</x:f>
      </x:c>
      <x:c r="H10" s="132" t="str">
        <x:f>IF(COUNTA(B10:F10)&lt;5,"",ROUND((D10+E10)*MAX(G10,0.5)/F10,1))</x:f>
      </x:c>
    </x:row>
    <x:row r="11">
      <x:c r="A11" s="133"/>
      <x:c r="B11" s="133"/>
      <x:c r="C11" s="133"/>
      <x:c r="D11" s="133"/>
      <x:c r="E11" s="133"/>
      <x:c r="F11" s="133"/>
      <x:c r="G11" s="132" t="str">
        <x:f>IF(OR(B11="",C11=""),"",ROUND(B11*C11*4.33/60,1))</x:f>
      </x:c>
      <x:c r="H11" s="132" t="str">
        <x:f>IF(COUNTA(B11:F11)&lt;5,"",ROUND((D11+E11)*MAX(G11,0.5)/F11,1))</x:f>
      </x:c>
    </x:row>
    <x:row r="12">
      <x:c r="A12" s="133"/>
      <x:c r="B12" s="133"/>
      <x:c r="C12" s="133"/>
      <x:c r="D12" s="133"/>
      <x:c r="E12" s="133"/>
      <x:c r="F12" s="133"/>
      <x:c r="G12" s="132" t="str">
        <x:f>IF(OR(B12="",C12=""),"",ROUND(B12*C12*4.33/60,1))</x:f>
      </x:c>
      <x:c r="H12" s="132" t="str">
        <x:f>IF(COUNTA(B12:F12)&lt;5,"",ROUND((D12+E12)*MAX(G12,0.5)/F12,1))</x:f>
      </x:c>
    </x:row>
    <x:row r="13">
      <x:c r="A13" s="133"/>
      <x:c r="B13" s="133"/>
      <x:c r="C13" s="133"/>
      <x:c r="D13" s="133"/>
      <x:c r="E13" s="133"/>
      <x:c r="F13" s="133"/>
      <x:c r="G13" s="132" t="str">
        <x:f>IF(OR(B13="",C13=""),"",ROUND(B13*C13*4.33/60,1))</x:f>
      </x:c>
      <x:c r="H13" s="132" t="str">
        <x:f>IF(COUNTA(B13:F13)&lt;5,"",ROUND((D13+E13)*MAX(G13,0.5)/F13,1))</x:f>
      </x:c>
    </x:row>
    <x:row r="14">
      <x:c r="A14" s="133"/>
      <x:c r="B14" s="133"/>
      <x:c r="C14" s="133"/>
      <x:c r="D14" s="133"/>
      <x:c r="E14" s="133"/>
      <x:c r="F14" s="133"/>
      <x:c r="G14" s="132" t="str">
        <x:f>IF(OR(B14="",C14=""),"",ROUND(B14*C14*4.33/60,1))</x:f>
      </x:c>
      <x:c r="H14" s="132" t="str">
        <x:f>IF(COUNTA(B14:F14)&lt;5,"",ROUND((D14+E14)*MAX(G14,0.5)/F14,1))</x:f>
      </x:c>
    </x:row>
    <x:row r="15">
      <x:c r="A15" s="134"/>
      <x:c r="B15" s="134"/>
      <x:c r="C15" s="134"/>
      <x:c r="D15" s="134"/>
      <x:c r="E15" s="134"/>
      <x:c r="F15" s="134"/>
      <x:c r="G15" s="132" t="str">
        <x:f>IF(OR(B15="",C15=""),"",ROUND(B15*C15*4.33/60,1))</x:f>
      </x:c>
      <x:c r="H15" s="132" t="str">
        <x:f>IF(COUNTA(B15:F15)&lt;5,"",ROUND((D15+E15)*MAX(G15,0.5)/F15,1))</x:f>
      </x:c>
    </x:row>
    <x:row r="16">
      <x:c r="A16" s="104"/>
      <x:c r="B16" s="104"/>
      <x:c r="C16" s="104"/>
      <x:c r="D16" s="104"/>
      <x:c r="E16" s="104"/>
      <x:c r="F16" s="104"/>
      <x:c r="G16" s="104"/>
      <x:c r="H16" s="104"/>
    </x:row>
    <x:row r="17">
      <x:c r="A17" s="107" t="str">
        <x:v>Proceso seleccionado</x:v>
      </x:c>
      <x:c r="B17" s="107"/>
      <x:c r="C17" s="107"/>
      <x:c r="D17" s="107"/>
      <x:c r="E17" s="107"/>
      <x:c r="F17" s="107"/>
      <x:c r="G17" s="107"/>
      <x:c r="H17" s="107"/>
    </x:row>
    <x:row r="18">
      <x:c r="A18" s="121" t="str">
        <x:v>Nombre</x:v>
      </x:c>
      <x:c r="B18" s="131" t="str"/>
      <x:c r="C18" s="131"/>
      <x:c r="D18" s="131"/>
      <x:c r="E18" s="131"/>
      <x:c r="F18" s="131"/>
      <x:c r="G18" s="131"/>
      <x:c r="H18" s="131"/>
    </x:row>
    <x:row r="19">
      <x:c r="A19" s="121" t="str">
        <x:v>Entrada</x:v>
      </x:c>
      <x:c r="B19" s="133" t="str"/>
      <x:c r="C19" s="133"/>
      <x:c r="D19" s="133"/>
      <x:c r="E19" s="133"/>
      <x:c r="F19" s="133"/>
      <x:c r="G19" s="133"/>
      <x:c r="H19" s="133"/>
    </x:row>
    <x:row r="20">
      <x:c r="A20" s="121" t="str">
        <x:v>Pasos actuales</x:v>
      </x:c>
      <x:c r="B20" s="133" t="str"/>
      <x:c r="C20" s="133"/>
      <x:c r="D20" s="133"/>
      <x:c r="E20" s="133"/>
      <x:c r="F20" s="133"/>
      <x:c r="G20" s="133"/>
      <x:c r="H20" s="133"/>
    </x:row>
    <x:row r="21">
      <x:c r="A21" s="121" t="str">
        <x:v>Resultado / salida</x:v>
      </x:c>
      <x:c r="B21" s="133" t="str"/>
      <x:c r="C21" s="133"/>
      <x:c r="D21" s="133"/>
      <x:c r="E21" s="133"/>
      <x:c r="F21" s="133"/>
      <x:c r="G21" s="133"/>
      <x:c r="H21" s="133"/>
    </x:row>
    <x:row r="22">
      <x:c r="A22" s="121" t="str">
        <x:v>Responsable humano</x:v>
      </x:c>
      <x:c r="B22" s="134" t="str"/>
      <x:c r="C22" s="134"/>
      <x:c r="D22" s="134"/>
      <x:c r="E22" s="134"/>
      <x:c r="F22" s="134"/>
      <x:c r="G22" s="134"/>
      <x:c r="H22" s="134"/>
    </x:row>
  </x:sheetData>
  <x:mergeCells>
    <x:mergeCell ref="A1:H1"/>
    <x:mergeCell ref="A2:H2"/>
    <x:mergeCell ref="A5:H5"/>
    <x:mergeCell ref="A17:H17"/>
    <x:mergeCell ref="B18:H18"/>
    <x:mergeCell ref="B19:H19"/>
    <x:mergeCell ref="B20:H20"/>
    <x:mergeCell ref="B21:H21"/>
    <x:mergeCell ref="B22:H22"/>
  </x:mergeCells>
  <x:dataValidations count="4">
    <x:dataValidation type="list" sqref="B4">
      <x:formula1>"Pendiente,En curso,Completado"</x:formula1>
    </x:dataValidation>
    <x:dataValidation type="whole" operator="between" sqref="B8:B15">
      <x:formula1>0</x:formula1>
      <x:formula2>100</x:formula2>
    </x:dataValidation>
    <x:dataValidation type="whole" operator="between" sqref="C8:C15">
      <x:formula1>0</x:formula1>
      <x:formula2>1440</x:formula2>
    </x:dataValidation>
    <x:dataValidation type="whole" operator="between" sqref="D8:F15">
      <x:formula1>1</x:formula1>
      <x:formula2>5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4" hidden="0" customWidth="1"/>
    <x:col min="8" max="8" width="17" hidden="0" customWidth="1"/>
    <x:col min="9" max="9" width="17" hidden="0" customWidth="1"/>
    <x:col min="10" max="10" width="25" hidden="0" customWidth="1"/>
  </x:cols>
  <x:sheetData>
    <x:row r="1" ht="30" customHeight="1">
      <x:c r="A1" s="102" t="str">
        <x:v>Paso 2 · CRM y ecosistema</x:v>
      </x:c>
      <x:c r="B1" s="102"/>
      <x:c r="C1" s="102"/>
      <x:c r="D1" s="102"/>
      <x:c r="E1" s="102"/>
      <x:c r="F1" s="102"/>
      <x:c r="G1" s="102"/>
      <x:c r="H1" s="102"/>
      <x:c r="I1" s="102"/>
      <x:c r="J1" s="102"/>
    </x:row>
    <x:row r="2" ht="34" customHeight="1">
      <x:c r="A2" s="125" t="str">
        <x:v>Diseña una base mínima de seguimiento. Usa exclusivamente datos ficticios durante el curso.</x:v>
      </x:c>
      <x:c r="B2" s="125"/>
      <x:c r="C2" s="125"/>
      <x:c r="D2" s="125"/>
      <x:c r="E2" s="125"/>
      <x:c r="F2" s="125"/>
      <x:c r="G2" s="125"/>
      <x:c r="H2" s="125"/>
      <x:c r="I2" s="125"/>
      <x:c r="J2" s="125"/>
    </x:row>
    <x:row r="3">
      <x:c r="A3" s="104"/>
      <x:c r="B3" s="104"/>
      <x:c r="C3" s="104"/>
      <x:c r="D3" s="104"/>
      <x:c r="E3" s="104"/>
      <x:c r="F3" s="104"/>
      <x:c r="G3" s="104"/>
      <x:c r="H3" s="104"/>
      <x:c r="I3" s="104"/>
      <x:c r="J3" s="104"/>
    </x:row>
    <x:row r="4">
      <x:c r="A4" s="126" t="str">
        <x:v>Estado del módulo</x:v>
      </x:c>
      <x:c r="B4" s="127" t="str">
        <x:v>Pendiente</x:v>
      </x:c>
      <x:c r="C4" s="104"/>
      <x:c r="D4" s="104"/>
      <x:c r="E4" s="104"/>
      <x:c r="F4" s="104"/>
      <x:c r="G4" s="104"/>
      <x:c r="H4" s="104"/>
      <x:c r="I4" s="104"/>
      <x:c r="J4" s="104"/>
    </x:row>
    <x:row r="5">
      <x:c r="A5" s="128" t="str">
        <x:v>Evidencia mínima: cinco registros ficticios con etapa y próximo paso. No incluir datos personales reales en este workbook.</x:v>
      </x:c>
      <x:c r="B5" s="129"/>
      <x:c r="C5" s="129"/>
      <x:c r="D5" s="129"/>
      <x:c r="E5" s="129"/>
      <x:c r="F5" s="129"/>
      <x:c r="G5" s="129"/>
      <x:c r="H5" s="129"/>
      <x:c r="I5" s="129"/>
      <x:c r="J5" s="130"/>
    </x:row>
    <x:row r="6">
      <x:c r="A6" s="104"/>
      <x:c r="B6" s="104"/>
      <x:c r="C6" s="104"/>
      <x:c r="D6" s="104"/>
      <x:c r="E6" s="104"/>
      <x:c r="F6" s="104"/>
      <x:c r="G6" s="104"/>
      <x:c r="H6" s="104"/>
      <x:c r="I6" s="104"/>
      <x:c r="J6" s="104"/>
    </x:row>
    <x:row r="7" ht="34" customHeight="1">
      <x:c r="A7" s="109" t="str">
        <x:v>Lead ID</x:v>
      </x:c>
      <x:c r="B7" s="110" t="str">
        <x:v>Nombre ficticio</x:v>
      </x:c>
      <x:c r="C7" s="110" t="str">
        <x:v>Origen</x:v>
      </x:c>
      <x:c r="D7" s="110" t="str">
        <x:v>Interés</x:v>
      </x:c>
      <x:c r="E7" s="110" t="str">
        <x:v>Etapa</x:v>
      </x:c>
      <x:c r="F7" s="110" t="str">
        <x:v>Último contacto</x:v>
      </x:c>
      <x:c r="G7" s="110" t="str">
        <x:v>Próximo paso</x:v>
      </x:c>
      <x:c r="H7" s="110" t="str">
        <x:v>Fecha próxima</x:v>
      </x:c>
      <x:c r="I7" s="110" t="str">
        <x:v>Responsable</x:v>
      </x:c>
      <x:c r="J7" s="111" t="str">
        <x:v>Observación</x:v>
      </x:c>
    </x:row>
    <x:row r="8">
      <x:c r="A8" s="131"/>
      <x:c r="B8" s="131"/>
      <x:c r="C8" s="131"/>
      <x:c r="D8" s="131"/>
      <x:c r="E8" s="131"/>
      <x:c r="F8" s="135"/>
      <x:c r="G8" s="131"/>
      <x:c r="H8" s="135"/>
      <x:c r="I8" s="131"/>
      <x:c r="J8" s="131"/>
    </x:row>
    <x:row r="9">
      <x:c r="A9" s="133"/>
      <x:c r="B9" s="133"/>
      <x:c r="C9" s="133"/>
      <x:c r="D9" s="133"/>
      <x:c r="E9" s="133"/>
      <x:c r="F9" s="136"/>
      <x:c r="G9" s="133"/>
      <x:c r="H9" s="136"/>
      <x:c r="I9" s="133"/>
      <x:c r="J9" s="133"/>
    </x:row>
    <x:row r="10">
      <x:c r="A10" s="133"/>
      <x:c r="B10" s="133"/>
      <x:c r="C10" s="133"/>
      <x:c r="D10" s="133"/>
      <x:c r="E10" s="133"/>
      <x:c r="F10" s="136"/>
      <x:c r="G10" s="133"/>
      <x:c r="H10" s="136"/>
      <x:c r="I10" s="133"/>
      <x:c r="J10" s="133"/>
    </x:row>
    <x:row r="11">
      <x:c r="A11" s="133"/>
      <x:c r="B11" s="133"/>
      <x:c r="C11" s="133"/>
      <x:c r="D11" s="133"/>
      <x:c r="E11" s="133"/>
      <x:c r="F11" s="136"/>
      <x:c r="G11" s="133"/>
      <x:c r="H11" s="136"/>
      <x:c r="I11" s="133"/>
      <x:c r="J11" s="133"/>
    </x:row>
    <x:row r="12">
      <x:c r="A12" s="133"/>
      <x:c r="B12" s="133"/>
      <x:c r="C12" s="133"/>
      <x:c r="D12" s="133"/>
      <x:c r="E12" s="133"/>
      <x:c r="F12" s="136"/>
      <x:c r="G12" s="133"/>
      <x:c r="H12" s="136"/>
      <x:c r="I12" s="133"/>
      <x:c r="J12" s="133"/>
    </x:row>
    <x:row r="13">
      <x:c r="A13" s="133"/>
      <x:c r="B13" s="133"/>
      <x:c r="C13" s="133"/>
      <x:c r="D13" s="133"/>
      <x:c r="E13" s="133"/>
      <x:c r="F13" s="136"/>
      <x:c r="G13" s="133"/>
      <x:c r="H13" s="136"/>
      <x:c r="I13" s="133"/>
      <x:c r="J13" s="133"/>
    </x:row>
    <x:row r="14">
      <x:c r="A14" s="133"/>
      <x:c r="B14" s="133"/>
      <x:c r="C14" s="133"/>
      <x:c r="D14" s="133"/>
      <x:c r="E14" s="133"/>
      <x:c r="F14" s="136"/>
      <x:c r="G14" s="133"/>
      <x:c r="H14" s="136"/>
      <x:c r="I14" s="133"/>
      <x:c r="J14" s="133"/>
    </x:row>
    <x:row r="15">
      <x:c r="A15" s="133"/>
      <x:c r="B15" s="133"/>
      <x:c r="C15" s="133"/>
      <x:c r="D15" s="133"/>
      <x:c r="E15" s="133"/>
      <x:c r="F15" s="136"/>
      <x:c r="G15" s="133"/>
      <x:c r="H15" s="136"/>
      <x:c r="I15" s="133"/>
      <x:c r="J15" s="133"/>
    </x:row>
    <x:row r="16">
      <x:c r="A16" s="133"/>
      <x:c r="B16" s="133"/>
      <x:c r="C16" s="133"/>
      <x:c r="D16" s="133"/>
      <x:c r="E16" s="133"/>
      <x:c r="F16" s="136"/>
      <x:c r="G16" s="133"/>
      <x:c r="H16" s="136"/>
      <x:c r="I16" s="133"/>
      <x:c r="J16" s="133"/>
    </x:row>
    <x:row r="17">
      <x:c r="A17" s="134"/>
      <x:c r="B17" s="134"/>
      <x:c r="C17" s="134"/>
      <x:c r="D17" s="134"/>
      <x:c r="E17" s="134"/>
      <x:c r="F17" s="137"/>
      <x:c r="G17" s="134"/>
      <x:c r="H17" s="137"/>
      <x:c r="I17" s="134"/>
      <x:c r="J17" s="134"/>
    </x:row>
    <x:row r="18">
      <x:c r="A18" s="104"/>
      <x:c r="B18" s="104"/>
      <x:c r="C18" s="104"/>
      <x:c r="D18" s="104"/>
      <x:c r="E18" s="104"/>
      <x:c r="F18" s="104"/>
      <x:c r="G18" s="104"/>
      <x:c r="H18" s="104"/>
      <x:c r="I18" s="104"/>
      <x:c r="J18" s="104"/>
    </x:row>
    <x:row r="19" ht="23" customHeight="1">
      <x:c r="A19" s="138" t="str">
        <x:v>Diccionario mínimo</x:v>
      </x:c>
      <x:c r="B19" s="138"/>
      <x:c r="C19" s="138"/>
      <x:c r="D19" s="138"/>
      <x:c r="E19" s="138"/>
      <x:c r="F19" s="138"/>
      <x:c r="G19" s="138"/>
      <x:c r="H19" s="138"/>
      <x:c r="I19" s="138"/>
      <x:c r="J19" s="138"/>
    </x:row>
    <x:row r="20">
      <x:c r="A20" s="139" t="str">
        <x:v>Lead ID</x:v>
      </x:c>
      <x:c r="B20" s="139" t="str">
        <x:v>Identificador ficticio</x:v>
      </x:c>
      <x:c r="C20" s="139" t="str">
        <x:v>Origen</x:v>
      </x:c>
      <x:c r="D20" s="139" t="str">
        <x:v>Canal de llegada</x:v>
      </x:c>
      <x:c r="E20" s="139" t="str">
        <x:v>Etapa</x:v>
      </x:c>
      <x:c r="F20" s="139" t="str">
        <x:v>Estado comercial</x:v>
      </x:c>
      <x:c r="G20" s="139" t="str">
        <x:v>Próximo paso</x:v>
      </x:c>
      <x:c r="H20" s="139" t="str">
        <x:v>Acción concreta</x:v>
      </x:c>
      <x:c r="I20" s="139" t="str">
        <x:v>Responsable</x:v>
      </x:c>
      <x:c r="J20" s="139" t="str">
        <x:v>Quién actúa</x:v>
      </x:c>
    </x:row>
    <x:row r="21">
      <x:c r="A21" s="140" t="str">
        <x:v>Ejemplo</x:v>
      </x:c>
      <x:c r="B21" s="140" t="str">
        <x:v>DEMO-001</x:v>
      </x:c>
      <x:c r="C21" s="140" t="str">
        <x:v>Ejemplo</x:v>
      </x:c>
      <x:c r="D21" s="140" t="str">
        <x:v>Formulario</x:v>
      </x:c>
      <x:c r="E21" s="140" t="str">
        <x:v>Ejemplo</x:v>
      </x:c>
      <x:c r="F21" s="140" t="str">
        <x:v>Nuevo</x:v>
      </x:c>
      <x:c r="G21" s="140" t="str">
        <x:v>Ejemplo</x:v>
      </x:c>
      <x:c r="H21" s="140" t="str">
        <x:v>Responder consulta</x:v>
      </x:c>
      <x:c r="I21" s="140" t="str">
        <x:v>Ejemplo</x:v>
      </x:c>
      <x:c r="J21" s="140" t="str">
        <x:v>Estudiante</x:v>
      </x:c>
    </x:row>
    <x:row r="22">
      <x:c r="A22" s="140" t="str">
        <x:v>Regla</x:v>
      </x:c>
      <x:c r="B22" s="140" t="str">
        <x:v>No reutilizar IDs reales</x:v>
      </x:c>
      <x:c r="C22" s="140" t="str">
        <x:v>Regla</x:v>
      </x:c>
      <x:c r="D22" s="140" t="str">
        <x:v>Usar lista consistente</x:v>
      </x:c>
      <x:c r="E22" s="140" t="str">
        <x:v>Regla</x:v>
      </x:c>
      <x:c r="F22" s="140" t="str">
        <x:v>Actualizar al cambiar</x:v>
      </x:c>
      <x:c r="G22" s="140" t="str">
        <x:v>Regla</x:v>
      </x:c>
      <x:c r="H22" s="140" t="str">
        <x:v>Incluir verbo</x:v>
      </x:c>
      <x:c r="I22" s="140" t="str">
        <x:v>Regla</x:v>
      </x:c>
      <x:c r="J22" s="140" t="str">
        <x:v>Una persona/rol</x:v>
      </x:c>
    </x:row>
    <x:row r="23">
      <x:c r="A23" s="141" t="str">
        <x:v>QA</x:v>
      </x:c>
      <x:c r="B23" s="141" t="str">
        <x:v>Único y no vacío</x:v>
      </x:c>
      <x:c r="C23" s="141" t="str">
        <x:v>QA</x:v>
      </x:c>
      <x:c r="D23" s="141" t="str">
        <x:v>Fuente reconocible</x:v>
      </x:c>
      <x:c r="E23" s="141" t="str">
        <x:v>QA</x:v>
      </x:c>
      <x:c r="F23" s="141" t="str">
        <x:v>Valor válido</x:v>
      </x:c>
      <x:c r="G23" s="141" t="str">
        <x:v>QA</x:v>
      </x:c>
      <x:c r="H23" s="141" t="str">
        <x:v>Fecha definida</x:v>
      </x:c>
      <x:c r="I23" s="141" t="str">
        <x:v>QA</x:v>
      </x:c>
      <x:c r="J23" s="141" t="str">
        <x:v>Asignado</x:v>
      </x:c>
    </x:row>
  </x:sheetData>
  <x:mergeCells>
    <x:mergeCell ref="A1:J1"/>
    <x:mergeCell ref="A2:J2"/>
    <x:mergeCell ref="A5:J5"/>
    <x:mergeCell ref="A19:J19"/>
  </x:mergeCells>
  <x:dataValidations count="2">
    <x:dataValidation type="list" sqref="B4">
      <x:formula1>"Pendiente,En curso,Completado"</x:formula1>
    </x:dataValidation>
    <x:dataValidation type="list" sqref="E8:E17">
      <x:formula1>"Nuevo,Contactado,Calificado,Oferta,Cerrado,Descartado"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3" hidden="0" customWidth="1"/>
    <x:col min="3" max="3" width="23" hidden="0" customWidth="1"/>
    <x:col min="4" max="4" width="23" hidden="0" customWidth="1"/>
    <x:col min="5" max="5" width="31" hidden="0" customWidth="1"/>
    <x:col min="6" max="6" width="31" hidden="0" customWidth="1"/>
    <x:col min="7" max="7" width="31" hidden="0" customWidth="1"/>
    <x:col min="8" max="8" width="31" hidden="0" customWidth="1"/>
  </x:cols>
  <x:sheetData>
    <x:row r="1" ht="30" customHeight="1">
      <x:c r="A1" s="102" t="str">
        <x:v>Paso 3 · IA aplicada</x:v>
      </x:c>
      <x:c r="B1" s="102"/>
      <x:c r="C1" s="102"/>
      <x:c r="D1" s="102"/>
      <x:c r="E1" s="102"/>
      <x:c r="F1" s="102"/>
      <x:c r="G1" s="102"/>
      <x:c r="H1" s="102"/>
    </x:row>
    <x:row r="2" ht="34" customHeight="1">
      <x:c r="A2" s="125" t="str">
        <x:v>Construye prompts reutilizables con límites de privacidad y revisión humana explícitos.</x:v>
      </x:c>
      <x:c r="B2" s="125"/>
      <x:c r="C2" s="125"/>
      <x:c r="D2" s="125"/>
      <x:c r="E2" s="125"/>
      <x:c r="F2" s="125"/>
      <x:c r="G2" s="125"/>
      <x:c r="H2" s="125"/>
    </x:row>
    <x:row r="3">
      <x:c r="A3" s="104"/>
      <x:c r="B3" s="104"/>
      <x:c r="C3" s="104"/>
      <x:c r="D3" s="104"/>
      <x:c r="E3" s="104"/>
      <x:c r="F3" s="104"/>
      <x:c r="G3" s="104"/>
      <x:c r="H3" s="104"/>
    </x:row>
    <x:row r="4">
      <x:c r="A4" s="126" t="str">
        <x:v>Estado del módulo</x:v>
      </x:c>
      <x:c r="B4" s="127" t="str">
        <x:v>Pendiente</x:v>
      </x:c>
      <x:c r="C4" s="104"/>
      <x:c r="D4" s="104"/>
      <x:c r="E4" s="104"/>
      <x:c r="F4" s="104"/>
      <x:c r="G4" s="104"/>
      <x:c r="H4" s="104"/>
    </x:row>
    <x:row r="5">
      <x:c r="A5" s="128" t="str">
        <x:v>Evidencia mínima: cinco prompts probados y una versión final. Nunca pegar credenciales, pagos, datos sensibles ni información privada de clientes.</x:v>
      </x:c>
      <x:c r="B5" s="129"/>
      <x:c r="C5" s="129"/>
      <x:c r="D5" s="129"/>
      <x:c r="E5" s="129"/>
      <x:c r="F5" s="129"/>
      <x:c r="G5" s="129"/>
      <x:c r="H5" s="130"/>
    </x:row>
    <x:row r="6">
      <x:c r="A6" s="104"/>
      <x:c r="B6" s="104"/>
      <x:c r="C6" s="104"/>
      <x:c r="D6" s="104"/>
      <x:c r="E6" s="104"/>
      <x:c r="F6" s="104"/>
      <x:c r="G6" s="104"/>
      <x:c r="H6" s="104"/>
    </x:row>
    <x:row r="7" ht="34" customHeight="1">
      <x:c r="A7" s="109" t="str">
        <x:v>Caso</x:v>
      </x:c>
      <x:c r="B7" s="110" t="str">
        <x:v>Objetivo</x:v>
      </x:c>
      <x:c r="C7" s="110" t="str">
        <x:v>Contexto permitido</x:v>
      </x:c>
      <x:c r="D7" s="110" t="str">
        <x:v>Datos prohibidos</x:v>
      </x:c>
      <x:c r="E7" s="110" t="str">
        <x:v>Prompt v1</x:v>
      </x:c>
      <x:c r="F7" s="110" t="str">
        <x:v>Resultado observado</x:v>
      </x:c>
      <x:c r="G7" s="110" t="str">
        <x:v>Mejora</x:v>
      </x:c>
      <x:c r="H7" s="111" t="str">
        <x:v>Prompt final</x:v>
      </x:c>
    </x:row>
    <x:row r="8">
      <x:c r="A8" s="131"/>
      <x:c r="B8" s="131"/>
      <x:c r="C8" s="131"/>
      <x:c r="D8" s="131"/>
      <x:c r="E8" s="131"/>
      <x:c r="F8" s="131"/>
      <x:c r="G8" s="131"/>
      <x:c r="H8" s="131"/>
    </x:row>
    <x:row r="9">
      <x:c r="A9" s="133"/>
      <x:c r="B9" s="133"/>
      <x:c r="C9" s="133"/>
      <x:c r="D9" s="133"/>
      <x:c r="E9" s="133"/>
      <x:c r="F9" s="133"/>
      <x:c r="G9" s="133"/>
      <x:c r="H9" s="133"/>
    </x:row>
    <x:row r="10">
      <x:c r="A10" s="133"/>
      <x:c r="B10" s="133"/>
      <x:c r="C10" s="133"/>
      <x:c r="D10" s="133"/>
      <x:c r="E10" s="133"/>
      <x:c r="F10" s="133"/>
      <x:c r="G10" s="133"/>
      <x:c r="H10" s="133"/>
    </x:row>
    <x:row r="11">
      <x:c r="A11" s="133"/>
      <x:c r="B11" s="133"/>
      <x:c r="C11" s="133"/>
      <x:c r="D11" s="133"/>
      <x:c r="E11" s="133"/>
      <x:c r="F11" s="133"/>
      <x:c r="G11" s="133"/>
      <x:c r="H11" s="133"/>
    </x:row>
    <x:row r="12">
      <x:c r="A12" s="133"/>
      <x:c r="B12" s="133"/>
      <x:c r="C12" s="133"/>
      <x:c r="D12" s="133"/>
      <x:c r="E12" s="133"/>
      <x:c r="F12" s="133"/>
      <x:c r="G12" s="133"/>
      <x:c r="H12" s="133"/>
    </x:row>
    <x:row r="13">
      <x:c r="A13" s="133"/>
      <x:c r="B13" s="133"/>
      <x:c r="C13" s="133"/>
      <x:c r="D13" s="133"/>
      <x:c r="E13" s="133"/>
      <x:c r="F13" s="133"/>
      <x:c r="G13" s="133"/>
      <x:c r="H13" s="133"/>
    </x:row>
    <x:row r="14">
      <x:c r="A14" s="133"/>
      <x:c r="B14" s="133"/>
      <x:c r="C14" s="133"/>
      <x:c r="D14" s="133"/>
      <x:c r="E14" s="133"/>
      <x:c r="F14" s="133"/>
      <x:c r="G14" s="133"/>
      <x:c r="H14" s="133"/>
    </x:row>
    <x:row r="15">
      <x:c r="A15" s="134"/>
      <x:c r="B15" s="134"/>
      <x:c r="C15" s="134"/>
      <x:c r="D15" s="134"/>
      <x:c r="E15" s="134"/>
      <x:c r="F15" s="134"/>
      <x:c r="G15" s="134"/>
      <x:c r="H15" s="134"/>
    </x:row>
    <x:row r="16">
      <x:c r="A16" s="104"/>
      <x:c r="B16" s="104"/>
      <x:c r="C16" s="104"/>
      <x:c r="D16" s="104"/>
      <x:c r="E16" s="104"/>
      <x:c r="F16" s="104"/>
      <x:c r="G16" s="104"/>
      <x:c r="H16" s="104"/>
    </x:row>
    <x:row r="17" ht="23" customHeight="1">
      <x:c r="A17" s="138" t="str">
        <x:v>Control antes de reutilizar un resultado</x:v>
      </x:c>
      <x:c r="B17" s="138"/>
      <x:c r="C17" s="138"/>
      <x:c r="D17" s="138"/>
      <x:c r="E17" s="138"/>
      <x:c r="F17" s="138"/>
      <x:c r="G17" s="138"/>
      <x:c r="H17" s="138"/>
    </x:row>
    <x:row r="18">
      <x:c r="A18" s="142" t="str">
        <x:v>Revisión</x:v>
      </x:c>
      <x:c r="B18" s="142" t="str">
        <x:v>Respuesta</x:v>
      </x:c>
      <x:c r="C18" s="104"/>
      <x:c r="D18" s="104"/>
      <x:c r="E18" s="104"/>
      <x:c r="F18" s="104"/>
      <x:c r="G18" s="104"/>
      <x:c r="H18" s="104"/>
    </x:row>
    <x:row r="19">
      <x:c r="A19" s="104" t="str">
        <x:v>¿El objetivo está claro?</x:v>
      </x:c>
      <x:c r="B19" s="131" t="str"/>
      <x:c r="C19" s="104"/>
      <x:c r="D19" s="104"/>
      <x:c r="E19" s="104"/>
      <x:c r="F19" s="104"/>
      <x:c r="G19" s="104"/>
      <x:c r="H19" s="104"/>
    </x:row>
    <x:row r="20">
      <x:c r="A20" s="104" t="str">
        <x:v>¿Se excluyeron datos sensibles?</x:v>
      </x:c>
      <x:c r="B20" s="133" t="str"/>
      <x:c r="C20" s="104"/>
      <x:c r="D20" s="104"/>
      <x:c r="E20" s="104"/>
      <x:c r="F20" s="104"/>
      <x:c r="G20" s="104"/>
      <x:c r="H20" s="104"/>
    </x:row>
    <x:row r="21">
      <x:c r="A21" s="104" t="str">
        <x:v>¿El resultado contiene hechos verificables?</x:v>
      </x:c>
      <x:c r="B21" s="133" t="str"/>
      <x:c r="C21" s="104"/>
      <x:c r="D21" s="104"/>
      <x:c r="E21" s="104"/>
      <x:c r="F21" s="104"/>
      <x:c r="G21" s="104"/>
      <x:c r="H21" s="104"/>
    </x:row>
    <x:row r="22">
      <x:c r="A22" s="104" t="str">
        <x:v>¿Una persona revisó tono y exactitud?</x:v>
      </x:c>
      <x:c r="B22" s="133" t="str"/>
      <x:c r="C22" s="104"/>
      <x:c r="D22" s="104"/>
      <x:c r="E22" s="104"/>
      <x:c r="F22" s="104"/>
      <x:c r="G22" s="104"/>
      <x:c r="H22" s="104"/>
    </x:row>
    <x:row r="23">
      <x:c r="A23" s="104" t="str">
        <x:v>¿Puede reutilizarse sin riesgo?</x:v>
      </x:c>
      <x:c r="B23" s="134" t="str"/>
      <x:c r="C23" s="104"/>
      <x:c r="D23" s="104"/>
      <x:c r="E23" s="104"/>
      <x:c r="F23" s="104"/>
      <x:c r="G23" s="104"/>
      <x:c r="H23" s="104"/>
    </x:row>
  </x:sheetData>
  <x:mergeCells>
    <x:mergeCell ref="A1:H1"/>
    <x:mergeCell ref="A2:H2"/>
    <x:mergeCell ref="A5:H5"/>
    <x:mergeCell ref="A17:H17"/>
  </x:mergeCells>
  <x:dataValidations count="2">
    <x:dataValidation type="list" sqref="B4">
      <x:formula1>"Pendiente,En curso,Completado"</x:formula1>
    </x:dataValidation>
    <x:dataValidation type="list" sqref="B19:B23">
      <x:formula1>"Sí,No,No aplica"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30" customHeight="1">
      <x:c r="A1" s="102" t="str">
        <x:v>Paso 4 · n8n esencial</x:v>
      </x:c>
      <x:c r="B1" s="102"/>
      <x:c r="C1" s="102"/>
      <x:c r="D1" s="102"/>
      <x:c r="E1" s="102"/>
      <x:c r="F1" s="102"/>
      <x:c r="G1" s="102"/>
      <x:c r="H1" s="102"/>
      <x:c r="I1" s="102"/>
    </x:row>
    <x:row r="2" ht="34" customHeight="1">
      <x:c r="A2" s="125" t="str">
        <x:v>Diseña y prueba un flujo mínimo con datos ficticios antes de conectarlo a servicios reales.</x:v>
      </x:c>
      <x:c r="B2" s="125"/>
      <x:c r="C2" s="125"/>
      <x:c r="D2" s="125"/>
      <x:c r="E2" s="125"/>
      <x:c r="F2" s="125"/>
      <x:c r="G2" s="125"/>
      <x:c r="H2" s="125"/>
      <x:c r="I2" s="125"/>
    </x:row>
    <x:row r="3">
      <x:c r="A3" s="104"/>
      <x:c r="B3" s="104"/>
      <x:c r="C3" s="104"/>
      <x:c r="D3" s="104"/>
      <x:c r="E3" s="104"/>
      <x:c r="F3" s="104"/>
      <x:c r="G3" s="104"/>
      <x:c r="H3" s="104"/>
      <x:c r="I3" s="104"/>
    </x:row>
    <x:row r="4">
      <x:c r="A4" s="126" t="str">
        <x:v>Estado del módulo</x:v>
      </x:c>
      <x:c r="B4" s="127" t="str">
        <x:v>Pendiente</x:v>
      </x:c>
      <x:c r="C4" s="104"/>
      <x:c r="D4" s="104"/>
      <x:c r="E4" s="104"/>
      <x:c r="F4" s="104"/>
      <x:c r="G4" s="104"/>
      <x:c r="H4" s="104"/>
      <x:c r="I4" s="104"/>
    </x:row>
    <x:row r="5">
      <x:c r="A5" s="128" t="str">
        <x:v>Evidencia mínima: diagrama del flujo, una ejecución aprobada y una prueba de error. No usar credenciales ni webhooks de producción.</x:v>
      </x:c>
      <x:c r="B5" s="129"/>
      <x:c r="C5" s="129"/>
      <x:c r="D5" s="129"/>
      <x:c r="E5" s="129"/>
      <x:c r="F5" s="129"/>
      <x:c r="G5" s="129"/>
      <x:c r="H5" s="129"/>
      <x:c r="I5" s="130"/>
    </x:row>
    <x:row r="6">
      <x:c r="A6" s="104"/>
      <x:c r="B6" s="104"/>
      <x:c r="C6" s="104"/>
      <x:c r="D6" s="104"/>
      <x:c r="E6" s="104"/>
      <x:c r="F6" s="104"/>
      <x:c r="G6" s="104"/>
      <x:c r="H6" s="104"/>
      <x:c r="I6" s="104"/>
    </x:row>
    <x:row r="7" ht="34" customHeight="1">
      <x:c r="A7" s="109" t="str">
        <x:v>Flujo</x:v>
      </x:c>
      <x:c r="B7" s="110" t="str">
        <x:v>Disparador</x:v>
      </x:c>
      <x:c r="C7" s="110" t="str">
        <x:v>Entrada</x:v>
      </x:c>
      <x:c r="D7" s="110" t="str">
        <x:v>Validación</x:v>
      </x:c>
      <x:c r="E7" s="110" t="str">
        <x:v>Acción</x:v>
      </x:c>
      <x:c r="F7" s="110" t="str">
        <x:v>Salida</x:v>
      </x:c>
      <x:c r="G7" s="110" t="str">
        <x:v>Manejo de error</x:v>
      </x:c>
      <x:c r="H7" s="110" t="str">
        <x:v>Responsable humano</x:v>
      </x:c>
      <x:c r="I7" s="111" t="str">
        <x:v>Evidencia</x:v>
      </x:c>
    </x:row>
    <x:row r="8">
      <x:c r="A8" s="131"/>
      <x:c r="B8" s="131"/>
      <x:c r="C8" s="131"/>
      <x:c r="D8" s="131"/>
      <x:c r="E8" s="131"/>
      <x:c r="F8" s="131"/>
      <x:c r="G8" s="131"/>
      <x:c r="H8" s="131"/>
      <x:c r="I8" s="131"/>
    </x:row>
    <x:row r="9">
      <x:c r="A9" s="133"/>
      <x:c r="B9" s="133"/>
      <x:c r="C9" s="133"/>
      <x:c r="D9" s="133"/>
      <x:c r="E9" s="133"/>
      <x:c r="F9" s="133"/>
      <x:c r="G9" s="133"/>
      <x:c r="H9" s="133"/>
      <x:c r="I9" s="133"/>
    </x:row>
    <x:row r="10">
      <x:c r="A10" s="133"/>
      <x:c r="B10" s="133"/>
      <x:c r="C10" s="133"/>
      <x:c r="D10" s="133"/>
      <x:c r="E10" s="133"/>
      <x:c r="F10" s="133"/>
      <x:c r="G10" s="133"/>
      <x:c r="H10" s="133"/>
      <x:c r="I10" s="133"/>
    </x:row>
    <x:row r="11">
      <x:c r="A11" s="133"/>
      <x:c r="B11" s="133"/>
      <x:c r="C11" s="133"/>
      <x:c r="D11" s="133"/>
      <x:c r="E11" s="133"/>
      <x:c r="F11" s="133"/>
      <x:c r="G11" s="133"/>
      <x:c r="H11" s="133"/>
      <x:c r="I11" s="133"/>
    </x:row>
    <x:row r="12">
      <x:c r="A12" s="134"/>
      <x:c r="B12" s="134"/>
      <x:c r="C12" s="134"/>
      <x:c r="D12" s="134"/>
      <x:c r="E12" s="134"/>
      <x:c r="F12" s="134"/>
      <x:c r="G12" s="134"/>
      <x:c r="H12" s="134"/>
      <x:c r="I12" s="134"/>
    </x:row>
    <x:row r="13">
      <x:c r="A13" s="104"/>
      <x:c r="B13" s="104"/>
      <x:c r="C13" s="104"/>
      <x:c r="D13" s="104"/>
      <x:c r="E13" s="104"/>
      <x:c r="F13" s="104"/>
      <x:c r="G13" s="104"/>
      <x:c r="H13" s="104"/>
      <x:c r="I13" s="104"/>
    </x:row>
    <x:row r="14" ht="23" customHeight="1">
      <x:c r="A14" s="138" t="str">
        <x:v>Pruebas del flujo</x:v>
      </x:c>
      <x:c r="B14" s="138"/>
      <x:c r="C14" s="138"/>
      <x:c r="D14" s="138"/>
      <x:c r="E14" s="138"/>
      <x:c r="F14" s="138"/>
      <x:c r="G14" s="138"/>
      <x:c r="H14" s="138"/>
      <x:c r="I14" s="138"/>
    </x:row>
    <x:row r="15" ht="34" customHeight="1">
      <x:c r="A15" s="109" t="str">
        <x:v>Caso</x:v>
      </x:c>
      <x:c r="B15" s="110" t="str">
        <x:v>Dato de prueba</x:v>
      </x:c>
      <x:c r="C15" s="110" t="str">
        <x:v>Resultado esperado</x:v>
      </x:c>
      <x:c r="D15" s="110" t="str">
        <x:v>Resultado real</x:v>
      </x:c>
      <x:c r="E15" s="110" t="str">
        <x:v>Estado</x:v>
      </x:c>
      <x:c r="F15" s="111" t="str">
        <x:v>Evidencia / nota</x:v>
      </x:c>
      <x:c r="G15" s="104"/>
      <x:c r="H15" s="143" t="str">
        <x:v>Tasa aprobada</x:v>
      </x:c>
      <x:c r="I15" s="105" t="n">
        <x:f>IF(COUNTIF(E16:E22,"&lt;&gt;No probado")=0,0,COUNTIF(E16:E22,"Aprobado")/COUNTIF(E16:E22,"&lt;&gt;No probado"))</x:f>
        <x:v>0</x:v>
      </x:c>
    </x:row>
    <x:row r="16">
      <x:c r="A16" s="131" t="str">
        <x:v>Camino feliz</x:v>
      </x:c>
      <x:c r="B16" s="131"/>
      <x:c r="C16" s="131"/>
      <x:c r="D16" s="131"/>
      <x:c r="E16" s="131"/>
      <x:c r="F16" s="131"/>
      <x:c r="G16" s="104"/>
      <x:c r="H16" s="104"/>
      <x:c r="I16" s="104"/>
    </x:row>
    <x:row r="17">
      <x:c r="A17" s="133" t="str">
        <x:v>Dato incompleto</x:v>
      </x:c>
      <x:c r="B17" s="133"/>
      <x:c r="C17" s="133"/>
      <x:c r="D17" s="133"/>
      <x:c r="E17" s="133"/>
      <x:c r="F17" s="133"/>
      <x:c r="G17" s="104"/>
      <x:c r="H17" s="104"/>
      <x:c r="I17" s="104"/>
    </x:row>
    <x:row r="18">
      <x:c r="A18" s="133" t="str">
        <x:v>Evento duplicado</x:v>
      </x:c>
      <x:c r="B18" s="133"/>
      <x:c r="C18" s="133"/>
      <x:c r="D18" s="133"/>
      <x:c r="E18" s="133"/>
      <x:c r="F18" s="133"/>
      <x:c r="G18" s="104"/>
      <x:c r="H18" s="104"/>
      <x:c r="I18" s="104"/>
    </x:row>
    <x:row r="19">
      <x:c r="A19" s="133"/>
      <x:c r="B19" s="133"/>
      <x:c r="C19" s="133"/>
      <x:c r="D19" s="133"/>
      <x:c r="E19" s="133"/>
      <x:c r="F19" s="133"/>
      <x:c r="G19" s="104"/>
      <x:c r="H19" s="104"/>
      <x:c r="I19" s="104"/>
    </x:row>
    <x:row r="20">
      <x:c r="A20" s="133"/>
      <x:c r="B20" s="133"/>
      <x:c r="C20" s="133"/>
      <x:c r="D20" s="133"/>
      <x:c r="E20" s="133"/>
      <x:c r="F20" s="133"/>
      <x:c r="G20" s="104"/>
      <x:c r="H20" s="104"/>
      <x:c r="I20" s="104"/>
    </x:row>
    <x:row r="21">
      <x:c r="A21" s="133"/>
      <x:c r="B21" s="133"/>
      <x:c r="C21" s="133"/>
      <x:c r="D21" s="133"/>
      <x:c r="E21" s="133"/>
      <x:c r="F21" s="133"/>
      <x:c r="G21" s="104"/>
      <x:c r="H21" s="104"/>
      <x:c r="I21" s="104"/>
    </x:row>
    <x:row r="22">
      <x:c r="A22" s="134"/>
      <x:c r="B22" s="134"/>
      <x:c r="C22" s="134"/>
      <x:c r="D22" s="134"/>
      <x:c r="E22" s="134"/>
      <x:c r="F22" s="134"/>
      <x:c r="G22" s="104"/>
      <x:c r="H22" s="104"/>
      <x:c r="I22" s="104"/>
    </x:row>
  </x:sheetData>
  <x:mergeCells>
    <x:mergeCell ref="A1:I1"/>
    <x:mergeCell ref="A2:I2"/>
    <x:mergeCell ref="A5:I5"/>
    <x:mergeCell ref="A14:I14"/>
  </x:mergeCells>
  <x:dataValidations count="2">
    <x:dataValidation type="list" sqref="B4">
      <x:formula1>"Pendiente,En curso,Completado"</x:formula1>
    </x:dataValidation>
    <x:dataValidation type="list" sqref="E16:E22">
      <x:formula1>"No probado,Aprobado,Fallido,No aplica"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1" hidden="0" customWidth="1"/>
    <x:col min="3" max="3" width="21" hidden="0" customWidth="1"/>
    <x:col min="4" max="4" width="3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0" customHeight="1">
      <x:c r="A1" s="102" t="str">
        <x:v>Paso 5 · Captación y seguimiento</x:v>
      </x:c>
      <x:c r="B1" s="102"/>
      <x:c r="C1" s="102"/>
      <x:c r="D1" s="102"/>
      <x:c r="E1" s="102"/>
      <x:c r="F1" s="102"/>
      <x:c r="G1" s="102"/>
      <x:c r="H1" s="102"/>
      <x:c r="I1" s="102"/>
    </x:row>
    <x:row r="2" ht="34" customHeight="1">
      <x:c r="A2" s="125" t="str">
        <x:v>Planifica el recorrido desde una consulta hasta el próximo paso, manteniendo consentimiento y salida humana.</x:v>
      </x:c>
      <x:c r="B2" s="125"/>
      <x:c r="C2" s="125"/>
      <x:c r="D2" s="125"/>
      <x:c r="E2" s="125"/>
      <x:c r="F2" s="125"/>
      <x:c r="G2" s="125"/>
      <x:c r="H2" s="125"/>
      <x:c r="I2" s="125"/>
    </x:row>
    <x:row r="3">
      <x:c r="A3" s="104"/>
      <x:c r="B3" s="104"/>
      <x:c r="C3" s="104"/>
      <x:c r="D3" s="104"/>
      <x:c r="E3" s="104"/>
      <x:c r="F3" s="104"/>
      <x:c r="G3" s="104"/>
      <x:c r="H3" s="104"/>
      <x:c r="I3" s="104"/>
    </x:row>
    <x:row r="4">
      <x:c r="A4" s="126" t="str">
        <x:v>Estado del módulo</x:v>
      </x:c>
      <x:c r="B4" s="127" t="str">
        <x:v>Pendiente</x:v>
      </x:c>
      <x:c r="C4" s="104"/>
      <x:c r="D4" s="104"/>
      <x:c r="E4" s="104"/>
      <x:c r="F4" s="104"/>
      <x:c r="G4" s="104"/>
      <x:c r="H4" s="104"/>
      <x:c r="I4" s="104"/>
    </x:row>
    <x:row r="5">
      <x:c r="A5" s="128" t="str">
        <x:v>Evidencia mínima: formulario o agenda de prueba y tres mensajes de seguimiento. Mantener envíos apagados hasta contar con autorización.</x:v>
      </x:c>
      <x:c r="B5" s="129"/>
      <x:c r="C5" s="129"/>
      <x:c r="D5" s="129"/>
      <x:c r="E5" s="129"/>
      <x:c r="F5" s="129"/>
      <x:c r="G5" s="129"/>
      <x:c r="H5" s="129"/>
      <x:c r="I5" s="130"/>
    </x:row>
    <x:row r="6">
      <x:c r="A6" s="104"/>
      <x:c r="B6" s="104"/>
      <x:c r="C6" s="104"/>
      <x:c r="D6" s="104"/>
      <x:c r="E6" s="104"/>
      <x:c r="F6" s="104"/>
      <x:c r="G6" s="104"/>
      <x:c r="H6" s="104"/>
      <x:c r="I6" s="104"/>
    </x:row>
    <x:row r="7" ht="34" customHeight="1">
      <x:c r="A7" s="109" t="str">
        <x:v>Momento</x:v>
      </x:c>
      <x:c r="B7" s="110" t="str">
        <x:v>Canal</x:v>
      </x:c>
      <x:c r="C7" s="110" t="str">
        <x:v>Objetivo</x:v>
      </x:c>
      <x:c r="D7" s="110" t="str">
        <x:v>Mensaje / acción</x:v>
      </x:c>
      <x:c r="E7" s="110" t="str">
        <x:v>Dato mínimo</x:v>
      </x:c>
      <x:c r="F7" s="110" t="str">
        <x:v>Consentimiento</x:v>
      </x:c>
      <x:c r="G7" s="110" t="str">
        <x:v>Espera</x:v>
      </x:c>
      <x:c r="H7" s="110" t="str">
        <x:v>Condición de salida</x:v>
      </x:c>
      <x:c r="I7" s="111" t="str">
        <x:v>Responsable</x:v>
      </x:c>
    </x:row>
    <x:row r="8">
      <x:c r="A8" s="104" t="str">
        <x:v>Ingreso</x:v>
      </x:c>
      <x:c r="B8" s="131"/>
      <x:c r="C8" s="131"/>
      <x:c r="D8" s="131"/>
      <x:c r="E8" s="131"/>
      <x:c r="F8" s="131"/>
      <x:c r="G8" s="131"/>
      <x:c r="H8" s="131"/>
      <x:c r="I8" s="131"/>
    </x:row>
    <x:row r="9">
      <x:c r="A9" s="104" t="str">
        <x:v>Confirmación</x:v>
      </x:c>
      <x:c r="B9" s="133"/>
      <x:c r="C9" s="133"/>
      <x:c r="D9" s="133"/>
      <x:c r="E9" s="133"/>
      <x:c r="F9" s="133"/>
      <x:c r="G9" s="133"/>
      <x:c r="H9" s="133"/>
      <x:c r="I9" s="133"/>
    </x:row>
    <x:row r="10">
      <x:c r="A10" s="104" t="str">
        <x:v>Seguimiento 1</x:v>
      </x:c>
      <x:c r="B10" s="133"/>
      <x:c r="C10" s="133"/>
      <x:c r="D10" s="133"/>
      <x:c r="E10" s="133"/>
      <x:c r="F10" s="133"/>
      <x:c r="G10" s="133"/>
      <x:c r="H10" s="133"/>
      <x:c r="I10" s="133"/>
    </x:row>
    <x:row r="11">
      <x:c r="A11" s="104" t="str">
        <x:v>Seguimiento 2</x:v>
      </x:c>
      <x:c r="B11" s="133"/>
      <x:c r="C11" s="133"/>
      <x:c r="D11" s="133"/>
      <x:c r="E11" s="133"/>
      <x:c r="F11" s="133"/>
      <x:c r="G11" s="133"/>
      <x:c r="H11" s="133"/>
      <x:c r="I11" s="133"/>
    </x:row>
    <x:row r="12">
      <x:c r="A12" s="104"/>
      <x:c r="B12" s="133"/>
      <x:c r="C12" s="133"/>
      <x:c r="D12" s="133"/>
      <x:c r="E12" s="133"/>
      <x:c r="F12" s="133"/>
      <x:c r="G12" s="133"/>
      <x:c r="H12" s="133"/>
      <x:c r="I12" s="133"/>
    </x:row>
    <x:row r="13">
      <x:c r="A13" s="104"/>
      <x:c r="B13" s="133"/>
      <x:c r="C13" s="133"/>
      <x:c r="D13" s="133"/>
      <x:c r="E13" s="133"/>
      <x:c r="F13" s="133"/>
      <x:c r="G13" s="133"/>
      <x:c r="H13" s="133"/>
      <x:c r="I13" s="133"/>
    </x:row>
    <x:row r="14">
      <x:c r="A14" s="104"/>
      <x:c r="B14" s="134"/>
      <x:c r="C14" s="134"/>
      <x:c r="D14" s="134"/>
      <x:c r="E14" s="134"/>
      <x:c r="F14" s="134"/>
      <x:c r="G14" s="134"/>
      <x:c r="H14" s="134"/>
      <x:c r="I14" s="134"/>
    </x:row>
    <x:row r="15">
      <x:c r="A15" s="104"/>
      <x:c r="B15" s="104"/>
      <x:c r="C15" s="104"/>
      <x:c r="D15" s="104"/>
      <x:c r="E15" s="104"/>
      <x:c r="F15" s="104"/>
      <x:c r="G15" s="104"/>
      <x:c r="H15" s="104"/>
      <x:c r="I15" s="104"/>
    </x:row>
    <x:row r="16" ht="23" customHeight="1">
      <x:c r="A16" s="138" t="str">
        <x:v>QA de captación</x:v>
      </x:c>
      <x:c r="B16" s="138"/>
      <x:c r="C16" s="138"/>
      <x:c r="D16" s="138"/>
      <x:c r="E16" s="138"/>
      <x:c r="F16" s="138"/>
      <x:c r="G16" s="138"/>
      <x:c r="H16" s="138"/>
      <x:c r="I16" s="138"/>
    </x:row>
    <x:row r="17" ht="34" customHeight="1">
      <x:c r="A17" s="109" t="str">
        <x:v>Control</x:v>
      </x:c>
      <x:c r="B17" s="110" t="str">
        <x:v>Estado</x:v>
      </x:c>
      <x:c r="C17" s="111" t="str">
        <x:v>Evidencia</x:v>
      </x:c>
      <x:c r="D17" s="104"/>
      <x:c r="E17" s="104"/>
      <x:c r="F17" s="104"/>
      <x:c r="G17" s="104"/>
      <x:c r="H17" s="104"/>
      <x:c r="I17" s="104"/>
    </x:row>
    <x:row r="18">
      <x:c r="A18" s="104" t="str">
        <x:v>El destino es de prueba</x:v>
      </x:c>
      <x:c r="B18" s="131" t="str">
        <x:v>No probado</x:v>
      </x:c>
      <x:c r="C18" s="131" t="str"/>
      <x:c r="D18" s="104"/>
      <x:c r="E18" s="104"/>
      <x:c r="F18" s="104"/>
      <x:c r="G18" s="104"/>
      <x:c r="H18" s="104"/>
      <x:c r="I18" s="104"/>
    </x:row>
    <x:row r="19">
      <x:c r="A19" s="104" t="str">
        <x:v>Los campos mínimos llegan completos</x:v>
      </x:c>
      <x:c r="B19" s="133" t="str">
        <x:v>No probado</x:v>
      </x:c>
      <x:c r="C19" s="133" t="str"/>
      <x:c r="D19" s="104"/>
      <x:c r="E19" s="104"/>
      <x:c r="F19" s="104"/>
      <x:c r="G19" s="104"/>
      <x:c r="H19" s="104"/>
      <x:c r="I19" s="104"/>
    </x:row>
    <x:row r="20">
      <x:c r="A20" s="104" t="str">
        <x:v>El usuario recibe confirmación</x:v>
      </x:c>
      <x:c r="B20" s="133" t="str">
        <x:v>No probado</x:v>
      </x:c>
      <x:c r="C20" s="133" t="str"/>
      <x:c r="D20" s="104"/>
      <x:c r="E20" s="104"/>
      <x:c r="F20" s="104"/>
      <x:c r="G20" s="104"/>
      <x:c r="H20" s="104"/>
      <x:c r="I20" s="104"/>
    </x:row>
    <x:row r="21">
      <x:c r="A21" s="104" t="str">
        <x:v>Existe salida o contacto humano</x:v>
      </x:c>
      <x:c r="B21" s="133" t="str">
        <x:v>No probado</x:v>
      </x:c>
      <x:c r="C21" s="133" t="str"/>
      <x:c r="D21" s="104"/>
      <x:c r="E21" s="104"/>
      <x:c r="F21" s="104"/>
      <x:c r="G21" s="104"/>
      <x:c r="H21" s="104"/>
      <x:c r="I21" s="104"/>
    </x:row>
    <x:row r="22">
      <x:c r="A22" s="104" t="str">
        <x:v>No se envían mensajes duplicados</x:v>
      </x:c>
      <x:c r="B22" s="134" t="str">
        <x:v>No probado</x:v>
      </x:c>
      <x:c r="C22" s="134" t="str"/>
      <x:c r="D22" s="104"/>
      <x:c r="E22" s="104"/>
      <x:c r="F22" s="104"/>
      <x:c r="G22" s="104"/>
      <x:c r="H22" s="104"/>
      <x:c r="I22" s="104"/>
    </x:row>
  </x:sheetData>
  <x:mergeCells>
    <x:mergeCell ref="A1:I1"/>
    <x:mergeCell ref="A2:I2"/>
    <x:mergeCell ref="A5:I5"/>
    <x:mergeCell ref="A16:I16"/>
  </x:mergeCells>
  <x:dataValidations count="4">
    <x:dataValidation type="list" sqref="B4">
      <x:formula1>"Pendiente,En curso,Completado"</x:formula1>
    </x:dataValidation>
    <x:dataValidation type="list" sqref="B8:B14">
      <x:formula1>"Formulario,Email,WhatsApp,Calendario,Notificación interna"</x:formula1>
    </x:dataValidation>
    <x:dataValidation type="list" sqref="F8:F14">
      <x:formula1>"Requerido,Obtenido,No aplica"</x:formula1>
    </x:dataValidation>
    <x:dataValidation type="list" sqref="B18:B22">
      <x:formula1>"No probado,Aprobado,Fallido,No aplica"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0" customHeight="1">
      <x:c r="A1" s="102" t="str">
        <x:v>Paso 6 · MVP y documentación</x:v>
      </x:c>
      <x:c r="B1" s="102"/>
      <x:c r="C1" s="102"/>
      <x:c r="D1" s="102"/>
      <x:c r="E1" s="102"/>
      <x:c r="F1" s="102"/>
      <x:c r="G1" s="102"/>
      <x:c r="H1" s="102"/>
    </x:row>
    <x:row r="2" ht="34" customHeight="1">
      <x:c r="A2" s="125" t="str">
        <x:v>Define una versión mínima demostrable: landing, formulario o prototipo documentado y reversible.</x:v>
      </x:c>
      <x:c r="B2" s="125"/>
      <x:c r="C2" s="125"/>
      <x:c r="D2" s="125"/>
      <x:c r="E2" s="125"/>
      <x:c r="F2" s="125"/>
      <x:c r="G2" s="125"/>
      <x:c r="H2" s="125"/>
    </x:row>
    <x:row r="3">
      <x:c r="A3" s="104"/>
      <x:c r="B3" s="104"/>
      <x:c r="C3" s="104"/>
      <x:c r="D3" s="104"/>
      <x:c r="E3" s="104"/>
      <x:c r="F3" s="104"/>
      <x:c r="G3" s="104"/>
      <x:c r="H3" s="104"/>
    </x:row>
    <x:row r="4">
      <x:c r="A4" s="126" t="str">
        <x:v>Estado del módulo</x:v>
      </x:c>
      <x:c r="B4" s="127" t="str">
        <x:v>Pendiente</x:v>
      </x:c>
      <x:c r="C4" s="104"/>
      <x:c r="D4" s="104"/>
      <x:c r="E4" s="104"/>
      <x:c r="F4" s="104"/>
      <x:c r="G4" s="104"/>
      <x:c r="H4" s="104"/>
    </x:row>
    <x:row r="5">
      <x:c r="A5" s="128" t="str">
        <x:v>Evidencia mínima: enlace o carpeta del MVP, alcance escrito y checklist QA. No desplegar ni conectar producción como parte del ejercicio.</x:v>
      </x:c>
      <x:c r="B5" s="129"/>
      <x:c r="C5" s="129"/>
      <x:c r="D5" s="129"/>
      <x:c r="E5" s="129"/>
      <x:c r="F5" s="129"/>
      <x:c r="G5" s="129"/>
      <x:c r="H5" s="130"/>
    </x:row>
    <x:row r="6">
      <x:c r="A6" s="104"/>
      <x:c r="B6" s="104"/>
      <x:c r="C6" s="104"/>
      <x:c r="D6" s="104"/>
      <x:c r="E6" s="104"/>
      <x:c r="F6" s="104"/>
      <x:c r="G6" s="104"/>
      <x:c r="H6" s="104"/>
    </x:row>
    <x:row r="7" ht="34" customHeight="1">
      <x:c r="A7" s="109" t="str">
        <x:v>Ficha del MVP</x:v>
      </x:c>
      <x:c r="B7" s="111" t="str">
        <x:v>Respuesta</x:v>
      </x:c>
      <x:c r="C7" s="104"/>
      <x:c r="D7" s="104"/>
      <x:c r="E7" s="104"/>
      <x:c r="F7" s="104"/>
      <x:c r="G7" s="104"/>
      <x:c r="H7" s="104"/>
    </x:row>
    <x:row r="8">
      <x:c r="A8" s="104" t="str">
        <x:v>Problema que resuelve</x:v>
      </x:c>
      <x:c r="B8" s="131" t="str"/>
      <x:c r="C8" s="131"/>
      <x:c r="D8" s="131"/>
      <x:c r="E8" s="131"/>
      <x:c r="F8" s="131"/>
      <x:c r="G8" s="131"/>
      <x:c r="H8" s="131"/>
    </x:row>
    <x:row r="9">
      <x:c r="A9" s="104" t="str">
        <x:v>Usuario principal</x:v>
      </x:c>
      <x:c r="B9" s="133" t="str"/>
      <x:c r="C9" s="133"/>
      <x:c r="D9" s="133"/>
      <x:c r="E9" s="133"/>
      <x:c r="F9" s="133"/>
      <x:c r="G9" s="133"/>
      <x:c r="H9" s="133"/>
    </x:row>
    <x:row r="10">
      <x:c r="A10" s="104" t="str">
        <x:v>Entrada</x:v>
      </x:c>
      <x:c r="B10" s="133" t="str"/>
      <x:c r="C10" s="133"/>
      <x:c r="D10" s="133"/>
      <x:c r="E10" s="133"/>
      <x:c r="F10" s="133"/>
      <x:c r="G10" s="133"/>
      <x:c r="H10" s="133"/>
    </x:row>
    <x:row r="11">
      <x:c r="A11" s="104" t="str">
        <x:v>Resultado</x:v>
      </x:c>
      <x:c r="B11" s="133" t="str"/>
      <x:c r="C11" s="133"/>
      <x:c r="D11" s="133"/>
      <x:c r="E11" s="133"/>
      <x:c r="F11" s="133"/>
      <x:c r="G11" s="133"/>
      <x:c r="H11" s="133"/>
    </x:row>
    <x:row r="12">
      <x:c r="A12" s="104" t="str">
        <x:v>Fuera de alcance</x:v>
      </x:c>
      <x:c r="B12" s="133" t="str"/>
      <x:c r="C12" s="133"/>
      <x:c r="D12" s="133"/>
      <x:c r="E12" s="133"/>
      <x:c r="F12" s="133"/>
      <x:c r="G12" s="133"/>
      <x:c r="H12" s="133"/>
    </x:row>
    <x:row r="13">
      <x:c r="A13" s="104" t="str">
        <x:v>Ubicación / enlace de prueba</x:v>
      </x:c>
      <x:c r="B13" s="134" t="str"/>
      <x:c r="C13" s="134"/>
      <x:c r="D13" s="134"/>
      <x:c r="E13" s="134"/>
      <x:c r="F13" s="134"/>
      <x:c r="G13" s="134"/>
      <x:c r="H13" s="134"/>
    </x:row>
    <x:row r="14">
      <x:c r="A14" s="104"/>
      <x:c r="B14" s="104"/>
      <x:c r="C14" s="104"/>
      <x:c r="D14" s="104"/>
      <x:c r="E14" s="104"/>
      <x:c r="F14" s="104"/>
      <x:c r="G14" s="104"/>
      <x:c r="H14" s="104"/>
    </x:row>
    <x:row r="15" ht="23" customHeight="1">
      <x:c r="A15" s="138" t="str">
        <x:v>Checklist QA del MVP</x:v>
      </x:c>
      <x:c r="B15" s="138"/>
      <x:c r="C15" s="138"/>
      <x:c r="D15" s="138"/>
      <x:c r="E15" s="138"/>
      <x:c r="F15" s="138"/>
      <x:c r="G15" s="138"/>
      <x:c r="H15" s="138"/>
    </x:row>
    <x:row r="16" ht="34" customHeight="1">
      <x:c r="A16" s="109" t="str">
        <x:v>Control</x:v>
      </x:c>
      <x:c r="B16" s="110" t="str">
        <x:v>Estado</x:v>
      </x:c>
      <x:c r="C16" s="110" t="str">
        <x:v>Evidencia</x:v>
      </x:c>
      <x:c r="D16" s="111" t="str">
        <x:v>Responsable</x:v>
      </x:c>
      <x:c r="E16" s="104"/>
      <x:c r="F16" s="104"/>
      <x:c r="G16" s="104"/>
      <x:c r="H16" s="104"/>
    </x:row>
    <x:row r="17">
      <x:c r="A17" s="104" t="str">
        <x:v>Se entiende el objetivo</x:v>
      </x:c>
      <x:c r="B17" s="131" t="str">
        <x:v>No probado</x:v>
      </x:c>
      <x:c r="C17" s="131" t="str"/>
      <x:c r="D17" s="131" t="str"/>
      <x:c r="E17" s="104"/>
      <x:c r="F17" s="104"/>
      <x:c r="G17" s="104"/>
      <x:c r="H17" s="104"/>
    </x:row>
    <x:row r="18">
      <x:c r="A18" s="104" t="str">
        <x:v>Navegación o recorrido completo</x:v>
      </x:c>
      <x:c r="B18" s="133" t="str">
        <x:v>No probado</x:v>
      </x:c>
      <x:c r="C18" s="133" t="str"/>
      <x:c r="D18" s="133" t="str"/>
      <x:c r="E18" s="104"/>
      <x:c r="F18" s="104"/>
      <x:c r="G18" s="104"/>
      <x:c r="H18" s="104"/>
    </x:row>
    <x:row r="19">
      <x:c r="A19" s="104" t="str">
        <x:v>Campos y mensajes funcionan</x:v>
      </x:c>
      <x:c r="B19" s="133" t="str">
        <x:v>No probado</x:v>
      </x:c>
      <x:c r="C19" s="133" t="str"/>
      <x:c r="D19" s="133" t="str"/>
      <x:c r="E19" s="104"/>
      <x:c r="F19" s="104"/>
      <x:c r="G19" s="104"/>
      <x:c r="H19" s="104"/>
    </x:row>
    <x:row r="20">
      <x:c r="A20" s="104" t="str">
        <x:v>Los errores tienen salida segura</x:v>
      </x:c>
      <x:c r="B20" s="133" t="str">
        <x:v>No probado</x:v>
      </x:c>
      <x:c r="C20" s="133" t="str"/>
      <x:c r="D20" s="133" t="str"/>
      <x:c r="E20" s="104"/>
      <x:c r="F20" s="104"/>
      <x:c r="G20" s="104"/>
      <x:c r="H20" s="104"/>
    </x:row>
    <x:row r="21">
      <x:c r="A21" s="104" t="str">
        <x:v>No contiene secretos ni datos reales</x:v>
      </x:c>
      <x:c r="B21" s="133" t="str">
        <x:v>No probado</x:v>
      </x:c>
      <x:c r="C21" s="133" t="str"/>
      <x:c r="D21" s="133" t="str"/>
      <x:c r="E21" s="104"/>
      <x:c r="F21" s="104"/>
      <x:c r="G21" s="104"/>
      <x:c r="H21" s="104"/>
    </x:row>
    <x:row r="22">
      <x:c r="A22" s="104" t="str">
        <x:v>Existe respaldo o control de versiones</x:v>
      </x:c>
      <x:c r="B22" s="133" t="str">
        <x:v>No probado</x:v>
      </x:c>
      <x:c r="C22" s="133" t="str"/>
      <x:c r="D22" s="133" t="str"/>
      <x:c r="E22" s="104"/>
      <x:c r="F22" s="104"/>
      <x:c r="G22" s="104"/>
      <x:c r="H22" s="104"/>
    </x:row>
    <x:row r="23">
      <x:c r="A23" s="104" t="str">
        <x:v>Otra persona puede repetir la prueba</x:v>
      </x:c>
      <x:c r="B23" s="133" t="str">
        <x:v>No probado</x:v>
      </x:c>
      <x:c r="C23" s="133" t="str"/>
      <x:c r="D23" s="133" t="str"/>
      <x:c r="E23" s="104"/>
      <x:c r="F23" s="104"/>
      <x:c r="G23" s="104"/>
      <x:c r="H23" s="104"/>
    </x:row>
    <x:row r="24">
      <x:c r="A24" s="104" t="str">
        <x:v>Cambios se pueden revertir</x:v>
      </x:c>
      <x:c r="B24" s="134" t="str">
        <x:v>No probado</x:v>
      </x:c>
      <x:c r="C24" s="134" t="str"/>
      <x:c r="D24" s="134" t="str"/>
      <x:c r="E24" s="104"/>
      <x:c r="F24" s="104"/>
      <x:c r="G24" s="104"/>
      <x:c r="H24" s="104"/>
    </x:row>
  </x:sheetData>
  <x:mergeCells>
    <x:mergeCell ref="A1:H1"/>
    <x:mergeCell ref="A2:H2"/>
    <x:mergeCell ref="A5:H5"/>
    <x:mergeCell ref="B8:H8"/>
    <x:mergeCell ref="B9:H9"/>
    <x:mergeCell ref="B10:H10"/>
    <x:mergeCell ref="B11:H11"/>
    <x:mergeCell ref="B12:H12"/>
    <x:mergeCell ref="B13:H13"/>
    <x:mergeCell ref="A15:H15"/>
  </x:mergeCells>
  <x:dataValidations count="2">
    <x:dataValidation type="list" sqref="B4">
      <x:formula1>"Pendiente,En curso,Completado"</x:formula1>
    </x:dataValidation>
    <x:dataValidation type="list" sqref="B17:B24">
      <x:formula1>"No probado,Aprobado,Fallido,No aplica"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1" hidden="0" customWidth="1"/>
    <x:col min="3" max="3" width="21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1" hidden="0" customWidth="1"/>
    <x:col min="9" max="9" width="21" hidden="0" customWidth="1"/>
  </x:cols>
  <x:sheetData>
    <x:row r="1" ht="30" customHeight="1">
      <x:c r="A1" s="102" t="str">
        <x:v>Paso 7 · Implementación y mejora</x:v>
      </x:c>
      <x:c r="B1" s="102"/>
      <x:c r="C1" s="102"/>
      <x:c r="D1" s="102"/>
      <x:c r="E1" s="102"/>
      <x:c r="F1" s="102"/>
      <x:c r="G1" s="102"/>
      <x:c r="H1" s="102"/>
      <x:c r="I1" s="102"/>
    </x:row>
    <x:row r="2" ht="34" customHeight="1">
      <x:c r="A2" s="125" t="str">
        <x:v>Cierra el ciclo con pruebas, medición y un roadmap de 30 días, sin activar producción.</x:v>
      </x:c>
      <x:c r="B2" s="125"/>
      <x:c r="C2" s="125"/>
      <x:c r="D2" s="125"/>
      <x:c r="E2" s="125"/>
      <x:c r="F2" s="125"/>
      <x:c r="G2" s="125"/>
      <x:c r="H2" s="125"/>
      <x:c r="I2" s="125"/>
    </x:row>
    <x:row r="3">
      <x:c r="A3" s="104"/>
      <x:c r="B3" s="104"/>
      <x:c r="C3" s="104"/>
      <x:c r="D3" s="104"/>
      <x:c r="E3" s="104"/>
      <x:c r="F3" s="104"/>
      <x:c r="G3" s="104"/>
      <x:c r="H3" s="104"/>
      <x:c r="I3" s="104"/>
    </x:row>
    <x:row r="4">
      <x:c r="A4" s="126" t="str">
        <x:v>Estado del módulo</x:v>
      </x:c>
      <x:c r="B4" s="127" t="str">
        <x:v>Pendiente</x:v>
      </x:c>
      <x:c r="C4" s="104"/>
      <x:c r="D4" s="104"/>
      <x:c r="E4" s="104"/>
      <x:c r="F4" s="104"/>
      <x:c r="G4" s="104"/>
      <x:c r="H4" s="104"/>
      <x:c r="I4" s="104"/>
    </x:row>
    <x:row r="5">
      <x:c r="A5" s="128" t="str">
        <x:v>Evidencia mínima: checklist final aprobado en entorno de prueba y roadmap con responsable, fecha y métrica.</x:v>
      </x:c>
      <x:c r="B5" s="129"/>
      <x:c r="C5" s="129"/>
      <x:c r="D5" s="129"/>
      <x:c r="E5" s="129"/>
      <x:c r="F5" s="129"/>
      <x:c r="G5" s="129"/>
      <x:c r="H5" s="129"/>
      <x:c r="I5" s="130"/>
    </x:row>
    <x:row r="6">
      <x:c r="A6" s="104"/>
      <x:c r="B6" s="104"/>
      <x:c r="C6" s="104"/>
      <x:c r="D6" s="104"/>
      <x:c r="E6" s="104"/>
      <x:c r="F6" s="104"/>
      <x:c r="G6" s="104"/>
      <x:c r="H6" s="104"/>
      <x:c r="I6" s="104"/>
    </x:row>
    <x:row r="7" ht="34" customHeight="1">
      <x:c r="A7" s="109" t="str">
        <x:v>Prueba final</x:v>
      </x:c>
      <x:c r="B7" s="110" t="str">
        <x:v>Resultado esperado</x:v>
      </x:c>
      <x:c r="C7" s="110" t="str">
        <x:v>Estado</x:v>
      </x:c>
      <x:c r="D7" s="110" t="str">
        <x:v>Evidencia</x:v>
      </x:c>
      <x:c r="E7" s="110" t="str">
        <x:v>Riesgo si falla</x:v>
      </x:c>
      <x:c r="F7" s="110" t="str">
        <x:v>Acción de reversa</x:v>
      </x:c>
      <x:c r="G7" s="111" t="str">
        <x:v>Responsable</x:v>
      </x:c>
      <x:c r="H7" s="104"/>
      <x:c r="I7" s="104"/>
    </x:row>
    <x:row r="8">
      <x:c r="A8" s="104" t="str">
        <x:v>Recorrido principal</x:v>
      </x:c>
      <x:c r="B8" s="131"/>
      <x:c r="C8" s="131"/>
      <x:c r="D8" s="131"/>
      <x:c r="E8" s="131"/>
      <x:c r="F8" s="131"/>
      <x:c r="G8" s="131"/>
      <x:c r="H8" s="104"/>
      <x:c r="I8" s="104"/>
    </x:row>
    <x:row r="9">
      <x:c r="A9" s="104" t="str">
        <x:v>Dato incompleto</x:v>
      </x:c>
      <x:c r="B9" s="133"/>
      <x:c r="C9" s="133"/>
      <x:c r="D9" s="133"/>
      <x:c r="E9" s="133"/>
      <x:c r="F9" s="133"/>
      <x:c r="G9" s="133"/>
      <x:c r="H9" s="104"/>
      <x:c r="I9" s="104"/>
    </x:row>
    <x:row r="10">
      <x:c r="A10" s="104" t="str">
        <x:v>Duplicado</x:v>
      </x:c>
      <x:c r="B10" s="133"/>
      <x:c r="C10" s="133"/>
      <x:c r="D10" s="133"/>
      <x:c r="E10" s="133"/>
      <x:c r="F10" s="133"/>
      <x:c r="G10" s="133"/>
      <x:c r="H10" s="104"/>
      <x:c r="I10" s="104"/>
    </x:row>
    <x:row r="11">
      <x:c r="A11" s="104" t="str">
        <x:v>Servicio no disponible</x:v>
      </x:c>
      <x:c r="B11" s="133"/>
      <x:c r="C11" s="133"/>
      <x:c r="D11" s="133"/>
      <x:c r="E11" s="133"/>
      <x:c r="F11" s="133"/>
      <x:c r="G11" s="133"/>
      <x:c r="H11" s="104"/>
      <x:c r="I11" s="104"/>
    </x:row>
    <x:row r="12">
      <x:c r="A12" s="104" t="str">
        <x:v>Privacidad / permisos</x:v>
      </x:c>
      <x:c r="B12" s="133"/>
      <x:c r="C12" s="133"/>
      <x:c r="D12" s="133"/>
      <x:c r="E12" s="133"/>
      <x:c r="F12" s="133"/>
      <x:c r="G12" s="133"/>
      <x:c r="H12" s="104"/>
      <x:c r="I12" s="104"/>
    </x:row>
    <x:row r="13">
      <x:c r="A13" s="104" t="str">
        <x:v>Recuperación</x:v>
      </x:c>
      <x:c r="B13" s="134"/>
      <x:c r="C13" s="134"/>
      <x:c r="D13" s="134"/>
      <x:c r="E13" s="134"/>
      <x:c r="F13" s="134"/>
      <x:c r="G13" s="134"/>
      <x:c r="H13" s="104"/>
      <x:c r="I13" s="104"/>
    </x:row>
    <x:row r="14">
      <x:c r="A14" s="104"/>
      <x:c r="B14" s="104"/>
      <x:c r="C14" s="104"/>
      <x:c r="D14" s="104"/>
      <x:c r="E14" s="104"/>
      <x:c r="F14" s="104"/>
      <x:c r="G14" s="104"/>
      <x:c r="H14" s="104"/>
      <x:c r="I14" s="104"/>
    </x:row>
    <x:row r="15" ht="23" customHeight="1">
      <x:c r="A15" s="138" t="str">
        <x:v>Medición antes / después</x:v>
      </x:c>
      <x:c r="B15" s="138"/>
      <x:c r="C15" s="138"/>
      <x:c r="D15" s="138"/>
      <x:c r="E15" s="138"/>
      <x:c r="F15" s="138"/>
      <x:c r="G15" s="138"/>
      <x:c r="H15" s="138"/>
      <x:c r="I15" s="138"/>
    </x:row>
    <x:row r="16" ht="34" customHeight="1">
      <x:c r="A16" s="109" t="str">
        <x:v>Métrica</x:v>
      </x:c>
      <x:c r="B16" s="110" t="str">
        <x:v>Antes</x:v>
      </x:c>
      <x:c r="C16" s="110" t="str">
        <x:v>Después</x:v>
      </x:c>
      <x:c r="D16" s="110" t="str">
        <x:v>Unidad</x:v>
      </x:c>
      <x:c r="E16" s="110" t="str">
        <x:v>Cambio</x:v>
      </x:c>
      <x:c r="F16" s="111" t="str">
        <x:v>Interpretación</x:v>
      </x:c>
      <x:c r="G16" s="104"/>
      <x:c r="H16" s="104"/>
      <x:c r="I16" s="104"/>
    </x:row>
    <x:row r="17">
      <x:c r="A17" s="131"/>
      <x:c r="B17" s="131"/>
      <x:c r="C17" s="131"/>
      <x:c r="D17" s="131"/>
      <x:c r="E17" s="104" t="str">
        <x:f>IF(OR(B17="",C17=""),"",C17-B17)</x:f>
      </x:c>
      <x:c r="F17" s="131"/>
      <x:c r="G17" s="104"/>
      <x:c r="H17" s="104"/>
      <x:c r="I17" s="104"/>
    </x:row>
    <x:row r="18">
      <x:c r="A18" s="133"/>
      <x:c r="B18" s="133"/>
      <x:c r="C18" s="133"/>
      <x:c r="D18" s="133"/>
      <x:c r="E18" s="104" t="str">
        <x:f>IF(OR(B18="",C18=""),"",C18-B18)</x:f>
      </x:c>
      <x:c r="F18" s="133"/>
      <x:c r="G18" s="104"/>
      <x:c r="H18" s="104"/>
      <x:c r="I18" s="104"/>
    </x:row>
    <x:row r="19">
      <x:c r="A19" s="133"/>
      <x:c r="B19" s="133"/>
      <x:c r="C19" s="133"/>
      <x:c r="D19" s="133"/>
      <x:c r="E19" s="104" t="str">
        <x:f>IF(OR(B19="",C19=""),"",C19-B19)</x:f>
      </x:c>
      <x:c r="F19" s="133"/>
      <x:c r="G19" s="104"/>
      <x:c r="H19" s="104"/>
      <x:c r="I19" s="104"/>
    </x:row>
    <x:row r="20">
      <x:c r="A20" s="133"/>
      <x:c r="B20" s="133"/>
      <x:c r="C20" s="133"/>
      <x:c r="D20" s="133"/>
      <x:c r="E20" s="104" t="str">
        <x:f>IF(OR(B20="",C20=""),"",C20-B20)</x:f>
      </x:c>
      <x:c r="F20" s="133"/>
      <x:c r="G20" s="104"/>
      <x:c r="H20" s="104"/>
      <x:c r="I20" s="104"/>
    </x:row>
    <x:row r="21">
      <x:c r="A21" s="134"/>
      <x:c r="B21" s="134"/>
      <x:c r="C21" s="134"/>
      <x:c r="D21" s="134"/>
      <x:c r="E21" s="104" t="str">
        <x:f>IF(OR(B21="",C21=""),"",C21-B21)</x:f>
      </x:c>
      <x:c r="F21" s="134"/>
      <x:c r="G21" s="104"/>
      <x:c r="H21" s="104"/>
      <x:c r="I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  <x:c r="I22" s="104"/>
    </x:row>
    <x:row r="23" ht="23" customHeight="1">
      <x:c r="A23" s="138" t="str">
        <x:v>Roadmap de 30 días</x:v>
      </x:c>
      <x:c r="B23" s="138"/>
      <x:c r="C23" s="138"/>
      <x:c r="D23" s="138"/>
      <x:c r="E23" s="138"/>
      <x:c r="F23" s="138"/>
      <x:c r="G23" s="138"/>
      <x:c r="H23" s="138"/>
      <x:c r="I23" s="138"/>
    </x:row>
    <x:row r="24" ht="34" customHeight="1">
      <x:c r="A24" s="109" t="str">
        <x:v>Prioridad</x:v>
      </x:c>
      <x:c r="B24" s="110" t="str">
        <x:v>Acción</x:v>
      </x:c>
      <x:c r="C24" s="110" t="str">
        <x:v>Responsable</x:v>
      </x:c>
      <x:c r="D24" s="110" t="str">
        <x:v>Fecha objetivo</x:v>
      </x:c>
      <x:c r="E24" s="110" t="str">
        <x:v>Métrica</x:v>
      </x:c>
      <x:c r="F24" s="110" t="str">
        <x:v>Estado</x:v>
      </x:c>
      <x:c r="G24" s="111" t="str">
        <x:v>Dependencia</x:v>
      </x:c>
      <x:c r="H24" s="104"/>
      <x:c r="I24" s="104"/>
    </x:row>
    <x:row r="25">
      <x:c r="A25" s="131"/>
      <x:c r="B25" s="131"/>
      <x:c r="C25" s="131"/>
      <x:c r="D25" s="135"/>
      <x:c r="E25" s="131"/>
      <x:c r="F25" s="131"/>
      <x:c r="G25" s="131"/>
      <x:c r="H25" s="104"/>
      <x:c r="I25" s="104"/>
    </x:row>
    <x:row r="26">
      <x:c r="A26" s="133"/>
      <x:c r="B26" s="133"/>
      <x:c r="C26" s="133"/>
      <x:c r="D26" s="136"/>
      <x:c r="E26" s="133"/>
      <x:c r="F26" s="133"/>
      <x:c r="G26" s="133"/>
      <x:c r="H26" s="104"/>
      <x:c r="I26" s="104"/>
    </x:row>
    <x:row r="27">
      <x:c r="A27" s="133"/>
      <x:c r="B27" s="133"/>
      <x:c r="C27" s="133"/>
      <x:c r="D27" s="136"/>
      <x:c r="E27" s="133"/>
      <x:c r="F27" s="133"/>
      <x:c r="G27" s="133"/>
      <x:c r="H27" s="104"/>
      <x:c r="I27" s="104"/>
    </x:row>
    <x:row r="28">
      <x:c r="A28" s="133"/>
      <x:c r="B28" s="133"/>
      <x:c r="C28" s="133"/>
      <x:c r="D28" s="136"/>
      <x:c r="E28" s="133"/>
      <x:c r="F28" s="133"/>
      <x:c r="G28" s="133"/>
      <x:c r="H28" s="104"/>
      <x:c r="I28" s="104"/>
    </x:row>
    <x:row r="29">
      <x:c r="A29" s="133"/>
      <x:c r="B29" s="133"/>
      <x:c r="C29" s="133"/>
      <x:c r="D29" s="136"/>
      <x:c r="E29" s="133"/>
      <x:c r="F29" s="133"/>
      <x:c r="G29" s="133"/>
      <x:c r="H29" s="104"/>
      <x:c r="I29" s="104"/>
    </x:row>
    <x:row r="30">
      <x:c r="A30" s="133"/>
      <x:c r="B30" s="133"/>
      <x:c r="C30" s="133"/>
      <x:c r="D30" s="136"/>
      <x:c r="E30" s="133"/>
      <x:c r="F30" s="133"/>
      <x:c r="G30" s="133"/>
      <x:c r="H30" s="104"/>
      <x:c r="I30" s="104"/>
    </x:row>
    <x:row r="31">
      <x:c r="A31" s="133"/>
      <x:c r="B31" s="133"/>
      <x:c r="C31" s="133"/>
      <x:c r="D31" s="136"/>
      <x:c r="E31" s="133"/>
      <x:c r="F31" s="133"/>
      <x:c r="G31" s="133"/>
      <x:c r="H31" s="104"/>
      <x:c r="I31" s="104"/>
    </x:row>
    <x:row r="32">
      <x:c r="A32" s="134"/>
      <x:c r="B32" s="134"/>
      <x:c r="C32" s="134"/>
      <x:c r="D32" s="137"/>
      <x:c r="E32" s="134"/>
      <x:c r="F32" s="134"/>
      <x:c r="G32" s="134"/>
      <x:c r="H32" s="104"/>
      <x:c r="I32" s="104"/>
    </x:row>
  </x:sheetData>
  <x:mergeCells>
    <x:mergeCell ref="A1:I1"/>
    <x:mergeCell ref="A2:I2"/>
    <x:mergeCell ref="A5:I5"/>
    <x:mergeCell ref="A15:I15"/>
    <x:mergeCell ref="A23:I23"/>
  </x:mergeCells>
  <x:dataValidations count="4">
    <x:dataValidation type="list" sqref="B4">
      <x:formula1>"Pendiente,En curso,Completado"</x:formula1>
    </x:dataValidation>
    <x:dataValidation type="list" sqref="C8:C13">
      <x:formula1>"No probado,Aprobado,Fallido,No aplica"</x:formula1>
    </x:dataValidation>
    <x:dataValidation type="list" sqref="A25:A32">
      <x:formula1>"Alta,Media,Baja"</x:formula1>
    </x:dataValidation>
    <x:dataValidation type="list" sqref="F25:F32">
      <x:formula1>"Pendiente,En curso,Completado"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45" hidden="0" customWidth="1"/>
    <x:col min="4" max="4" width="19" hidden="0" customWidth="1"/>
    <x:col min="5" max="5" width="65" hidden="0" customWidth="1"/>
  </x:cols>
  <x:sheetData>
    <x:row r="1">
      <x:c r="A1" s="142" t="str">
        <x:v>Fuentes y trazabilidad</x:v>
      </x:c>
      <x:c r="B1" s="142"/>
      <x:c r="C1" s="142"/>
      <x:c r="D1" s="142"/>
      <x:c r="E1" s="142"/>
    </x:row>
    <x:row r="2">
      <x:c r="A2" s="103" t="str">
        <x:v>Material revisado para consolidar el workbook. Los activos históricos se usaron como fuente y no se modificaron.</x:v>
      </x:c>
      <x:c r="B2" s="103"/>
      <x:c r="C2" s="103"/>
      <x:c r="D2" s="103"/>
      <x:c r="E2" s="103"/>
    </x:row>
    <x:row r="3">
      <x:c r="A3" s="104"/>
      <x:c r="B3" s="104"/>
      <x:c r="C3" s="104"/>
      <x:c r="D3" s="104"/>
      <x:c r="E3" s="104"/>
    </x:row>
    <x:row r="4" ht="34" customHeight="1">
      <x:c r="A4" s="109" t="str">
        <x:v>Fuente</x:v>
      </x:c>
      <x:c r="B4" s="110" t="str">
        <x:v>Tipo</x:v>
      </x:c>
      <x:c r="C4" s="110" t="str">
        <x:v>Uso en el workbook</x:v>
      </x:c>
      <x:c r="D4" s="110" t="str">
        <x:v>Estado</x:v>
      </x:c>
      <x:c r="E4" s="111" t="str">
        <x:v>URL</x:v>
      </x:c>
    </x:row>
    <x:row r="5">
      <x:c r="A5" s="144" t="str">
        <x:v>Automatiza tu Negocio en 7 Pasos — Marketing, Ventas y Operación Comercial</x:v>
      </x:c>
      <x:c r="B5" s="144" t="str">
        <x:v>Google Doc</x:v>
      </x:c>
      <x:c r="C5" s="144" t="str">
        <x:v>Propuesta, recorrido comercial, criterios de seguridad y nomenclatura</x:v>
      </x:c>
      <x:c r="D5" s="144" t="str">
        <x:v>Vigente</x:v>
      </x:c>
      <x:c r="E5" s="144" t="str">
        <x:v>https://docs.google.com/document/d/1hLnS3ajc3kV1ftPf08ld_xDt1AS1BbwbyNLf7zLz9a8/edit</x:v>
      </x:c>
    </x:row>
    <x:row r="6">
      <x:c r="A6" s="145" t="str">
        <x:v>Guia_LMS_Automatiza_tu_Negocio_Language_Center (2).docx</x:v>
      </x:c>
      <x:c r="B6" s="145" t="str">
        <x:v>Drive / DOCX</x:v>
      </x:c>
      <x:c r="C6" s="145" t="str">
        <x:v>Mapa de siete módulos, evidencias y descargables</x:v>
      </x:c>
      <x:c r="D6" s="145" t="str">
        <x:v>Fuente histórica</x:v>
      </x:c>
      <x:c r="E6" s="145" t="str">
        <x:v>https://docs.google.com/document/d/1xO4rogKVLc0ctrSseAdGH742hlVoi5Q5/edit</x:v>
      </x:c>
    </x:row>
    <x:row r="7">
      <x:c r="A7" s="145" t="str">
        <x:v>Material_Bienvenida_Automatiza_tu_Negocio.docx</x:v>
      </x:c>
      <x:c r="B7" s="145" t="str">
        <x:v>Drive / DOCX</x:v>
      </x:c>
      <x:c r="C7" s="145" t="str">
        <x:v>Diagnóstico inicial, reglas y experiencia del estudiante</x:v>
      </x:c>
      <x:c r="D7" s="145" t="str">
        <x:v>Fuente histórica</x:v>
      </x:c>
      <x:c r="E7" s="145" t="str">
        <x:v>https://docs.google.com/document/d/1wVdB0wh_UNGS3oNaHGgIZ6OEp0AA_t6o/edit</x:v>
      </x:c>
    </x:row>
    <x:row r="8">
      <x:c r="A8" s="145" t="str">
        <x:v>Automatiza-tu-Negocio-en-7-Dias (1).pdf</x:v>
      </x:c>
      <x:c r="B8" s="145" t="str">
        <x:v>Drive / PDF</x:v>
      </x:c>
      <x:c r="C8" s="145" t="str">
        <x:v>Contenidos base y estructura del programa</x:v>
      </x:c>
      <x:c r="D8" s="145" t="str">
        <x:v>Legacy / source</x:v>
      </x:c>
      <x:c r="E8" s="145" t="str">
        <x:v>https://drive.google.com/file/d/190l0VoPVZ2_sXmdeM12Dr8irM7uM29C9/view</x:v>
      </x:c>
    </x:row>
    <x:row r="9">
      <x:c r="A9" s="145" t="str">
        <x:v>Estado de lanzamiento — PR #2</x:v>
      </x:c>
      <x:c r="B9" s="145" t="str">
        <x:v>GitHub</x:v>
      </x:c>
      <x:c r="C9" s="145" t="str">
        <x:v>Brechas y criterio de listo para vender</x:v>
      </x:c>
      <x:c r="D9" s="145" t="str">
        <x:v>Borrador</x:v>
      </x:c>
      <x:c r="E9" s="145" t="str">
        <x:v>https://github.com/Language-Center-Chile/automatiza-en-pasos/pull/2</x:v>
      </x:c>
    </x:row>
    <x:row r="10">
      <x:c r="A10" s="146" t="str">
        <x:v>Landing candidata — PR #3</x:v>
      </x:c>
      <x:c r="B10" s="146" t="str">
        <x:v>GitHub</x:v>
      </x:c>
      <x:c r="C10" s="146" t="str">
        <x:v>Límites de publicación y captura</x:v>
      </x:c>
      <x:c r="D10" s="146" t="str">
        <x:v>Borrador</x:v>
      </x:c>
      <x:c r="E10" s="146" t="str">
        <x:v>https://github.com/Language-Center-Chile/automatiza-en-pasos/pull/3</x:v>
      </x:c>
    </x:row>
    <x:row r="11">
      <x:c r="A11" s="104"/>
      <x:c r="B11" s="104"/>
      <x:c r="C11" s="104"/>
      <x:c r="D11" s="104"/>
      <x:c r="E11" s="104"/>
    </x:row>
    <x:row r="12">
      <x:c r="A12" s="147" t="str">
        <x:v>Nomenclatura aplicada: “Automatiza tu Negocio en 7 Pasos”. Las referencias “7 Días” se conservan únicamente para identificar fuentes históricas. Se excluyeron precios, Aleph Server, testimonios y promesas no verificadas.</x:v>
      </x:c>
      <x:c r="B12" s="148"/>
      <x:c r="C12" s="148"/>
      <x:c r="D12" s="148"/>
      <x:c r="E12" s="149"/>
    </x:row>
    <x:row r="13">
      <x:c r="A13" s="150"/>
      <x:c r="B13" s="151"/>
      <x:c r="C13" s="151"/>
      <x:c r="D13" s="151"/>
      <x:c r="E13" s="152"/>
    </x:row>
  </x:sheetData>
  <x:mergeCells>
    <x:mergeCell ref="A1:E1"/>
    <x:mergeCell ref="A2:E2"/>
    <x:mergeCell ref="A12:E13"/>
  </x:mergeCells>
  <x:pageMargins left="0.7" right="0.7" top="0.75" bottom="0.75" header="0.3" footer="0.3"/>
</x:worksheet>
</file>